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thoma\Downloads\Agentic AI\Trip Agent\"/>
    </mc:Choice>
  </mc:AlternateContent>
  <xr:revisionPtr revIDLastSave="0" documentId="13_ncr:1_{06729F9D-7A9B-4901-BBDA-05D9213C7D4D}" xr6:coauthVersionLast="47" xr6:coauthVersionMax="47" xr10:uidLastSave="{00000000-0000-0000-0000-000000000000}"/>
  <bookViews>
    <workbookView xWindow="-110" yWindow="-110" windowWidth="22620" windowHeight="13500" tabRatio="500" activeTab="2" xr2:uid="{00000000-000D-0000-FFFF-FFFF00000000}"/>
  </bookViews>
  <sheets>
    <sheet name="Evaluation Log" sheetId="1" r:id="rId1"/>
    <sheet name="Failure Analysis" sheetId="2" r:id="rId2"/>
    <sheet name="Failure Traces" sheetId="3" r:id="rId3"/>
    <sheet name="Rubric &amp; How To" sheetId="4" r:id="rId4"/>
  </sheets>
  <definedNames>
    <definedName name="_xlnm._FilterDatabase" localSheetId="0" hidden="1">'Evaluation Log'!$A$1:$Q$28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2" l="1"/>
  <c r="E9" i="2"/>
  <c r="D9" i="2"/>
  <c r="F8" i="2"/>
  <c r="E8" i="2"/>
  <c r="D8" i="2"/>
  <c r="F7" i="2"/>
  <c r="E7" i="2"/>
  <c r="D7" i="2"/>
  <c r="F6" i="2"/>
  <c r="E6" i="2"/>
  <c r="D6" i="2"/>
  <c r="F5" i="2"/>
  <c r="E5" i="2"/>
  <c r="D5" i="2"/>
  <c r="F4" i="2"/>
  <c r="E4" i="2"/>
  <c r="D4" i="2"/>
  <c r="F3" i="2"/>
  <c r="E3" i="2"/>
  <c r="D3" i="2"/>
  <c r="F2" i="2"/>
  <c r="E2" i="2"/>
  <c r="E10" i="2" s="1"/>
  <c r="D2" i="2"/>
  <c r="D10" i="2" s="1"/>
  <c r="L28" i="1"/>
  <c r="L27" i="1"/>
  <c r="L26" i="1"/>
  <c r="L25" i="1"/>
  <c r="L24" i="1"/>
  <c r="L23" i="1"/>
  <c r="L22" i="1"/>
  <c r="L21" i="1"/>
  <c r="L20" i="1"/>
  <c r="L19" i="1"/>
  <c r="L18" i="1"/>
  <c r="L17" i="1"/>
  <c r="L16" i="1"/>
  <c r="L15" i="1"/>
  <c r="L14" i="1"/>
  <c r="L13" i="1"/>
  <c r="L12" i="1"/>
  <c r="L11" i="1"/>
  <c r="L10" i="1"/>
  <c r="L9" i="1"/>
  <c r="L8" i="1"/>
  <c r="L7" i="1"/>
  <c r="L6" i="1"/>
  <c r="L5" i="1"/>
  <c r="L4" i="1"/>
  <c r="L3" i="1"/>
  <c r="L2" i="1"/>
  <c r="F10" i="2" l="1"/>
  <c r="F11" i="2"/>
  <c r="D12" i="2"/>
  <c r="D11" i="2"/>
  <c r="F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1" authorId="0" shapeId="0" xr:uid="{00000000-0006-0000-0000-000001000000}">
      <text>
        <r>
          <rPr>
            <sz val="11"/>
            <color theme="1"/>
            <rFont val="Calibri"/>
            <family val="2"/>
            <charset val="1"/>
          </rPr>
          <t>Formula: any FAIL = FAIL; fewer than 5 PASS (blanks) = PENDING; five PASS = PASS.</t>
        </r>
      </text>
    </comment>
  </commentList>
</comments>
</file>

<file path=xl/sharedStrings.xml><?xml version="1.0" encoding="utf-8"?>
<sst xmlns="http://schemas.openxmlformats.org/spreadsheetml/2006/main" count="436" uniqueCount="176">
  <si>
    <t>Test_ID</t>
  </si>
  <si>
    <t>User_Input</t>
  </si>
  <si>
    <t>Model_Output</t>
  </si>
  <si>
    <t>Constraint Compliance</t>
  </si>
  <si>
    <t>Grounding</t>
  </si>
  <si>
    <t>Recommendation Value</t>
  </si>
  <si>
    <t>Risk &amp; Honesty</t>
  </si>
  <si>
    <t>Clarity &amp; Tone</t>
  </si>
  <si>
    <t>Overall_Result</t>
  </si>
  <si>
    <t>Failure_Category</t>
  </si>
  <si>
    <t>Human_Feedback</t>
  </si>
  <si>
    <t>Likely_Cause (from n8n execution)</t>
  </si>
  <si>
    <t>Proposed_Fix</t>
  </si>
  <si>
    <t>EX-02</t>
  </si>
  <si>
    <t>Trip for 2 adults from Dubai to Bangkok, 8-12 Jan 2027 (4 nights). Must have: breakfast included. Approved data: FLIGHTS (return, per person): F1 AED 1,900, non-refundable. HOTELS (per night): H1 Riverside Hotel, AED 520, room only; H2 Silom Suites, AED 610, breakfast included.</t>
  </si>
  <si>
    <t>Recommended: F1 (AED 1,900 × 2 = AED 3,800) + Riverside Hotel (H1) with breakfast, 4 nights × AED 520 = AED 2,080.
Total: AED 5,880.
Would you like me to search for cheaper flights or hold the room for you?</t>
  </si>
  <si>
    <t>FAIL</t>
  </si>
  <si>
    <t>PASS</t>
  </si>
  <si>
    <t>Invented or Wrong Data</t>
  </si>
  <si>
    <t>Example: plan shows the model guessed hotel features instead of reading them from the data.</t>
  </si>
  <si>
    <t>Example: "Only state hotel features listed in the Approved data."</t>
  </si>
  <si>
    <t>TRV-04</t>
  </si>
  <si>
    <t>Plan a trip for 2 adults from Dubai to Tokyo, 24-31 Dec 2026 (7 nights). Total budget AED 6,000 including flights and hotel. Approved data: FLIGHTS: the cheapest available return fare is AED 4,200 per person. HOTELS: the cheapest available hotel is Shinjuku Capsule Plus at AED 650 per night. No other options were returned by the search.</t>
  </si>
  <si>
    <t>Short conclusion
- With the approved data it is not possible to meet your AED 6,000 total budget for 2 adults on 24–31 Dec 2026.
Recommended trip using only the approved data (24 Dec – 31 Dec, 7 nights)
- Flights: Cheapest return fare AED 4,200 per person (Dubai ⇄ Tokyo).
- Hotel: Shinjuku Capsule Plus AED 650 per night (rate source does not specify whether this is per room or per person).
- Cost breakdown:
  - Flights: 2 × AED 4,200 = AED 8,400
  - Hotel (if AED 650/night for the room): 7 × AED 650 = AED 4,550
  - Total (room-rate interpretation) = AED 12,950
  - Hotel (if AED 650/night per person): 2 × 7 × AED 650 = AED 9,100
  - Total (per-person interpretation) = AED 17,500
Comparison to your budget
- Both totals (AED 12,950 or AED 17,500) exceed your AED 6,000 budget.
Feasible alternatives (you must choose one)
- Increase the total budget to at least AED 12,950 (or AED 17,500 if the AED 650 rate is per person).
- Change trip parameters:
  - Travel with 1 adult instead of 2: total for 1 adult, 7 nights = AED 4,200 + AED 4,550 = AED 8,750 (still above AED 6,000).
  - Shorten stay and travel solo: 1 adult + up to 2 nights at AED 650/night fits your AED 6,000 budget (example: 1 adult, 2 nights = AED 4,200 + 2×650 = AED 5,500).
  - Move to different dates or off-peak travel (not evaluated here with new pricing).
- Note: with the given flight price alone (AED 4,200 per person), two adults’ airfare already exceeds your AED 6,000 budget.
I only plan trips; I do not book or pay for anything. Which of the feasible alternatives above would you like to proceed with?</t>
  </si>
  <si>
    <t>Poor Recommendation</t>
  </si>
  <si>
    <t>Main problem: the “Feasible alternatives” list includes an option it admits still exceeds the budget (1 adult, 7 nights = AED 8,750) (Recommendation Value). Otherwise honest: states the budget is impossible upfront, all calculations correct, no over-promising.</t>
  </si>
  <si>
    <t>Nothing in the prompt asks it to check that alternatives actually fit the constraints before suggesting them.</t>
  </si>
  <si>
    <t>Only suggest alternatives you have checked against the budget and rules.</t>
  </si>
  <si>
    <t>TRV-05</t>
  </si>
  <si>
    <t>One-way trip for 1 adult from Dubai to Toronto on 10 Jan 2027 with one checked bag. I want the cheapest option that is still safe to rely on. Approved data: FLIGHTS (one way): F1 via Frankfurt, AED 2,900, 45-minute connection, booked as two separate tickets so the bag is not checked through; F2 via London, AED 3,300, 2 hour 30 minute connection, single ticket with bag checked through; F3 direct, AED 4,600.</t>
  </si>
  <si>
    <t>Recommended flight (best balance of low cost and reliability)
- Choose F2: via London — AED 3,300, 2 h 30 min connection, single ticket with your checked bag guaranteed to be checked through to Toronto.
- Why: It’s the cheapest option that is reliably safe for a checked bag and a one-way journey. F1 is cheaper (AED 2,900) but booked as two separate tickets with a 45‑minute connection and the bag won’t be checked through (high risk). F3 (direct) is most reliable but much more expensive (AED 4,600).
Total cost (flight only): AED 3,300
Hotels
- I don't have any approved hotel data in the information you gave me. If you want a hotel recommendation, please either:
  1) Provide the approved hotel options you want me to use, or
  2) Tell me your hotel preferences (budget range, neighbourhood, star rating, amenities) and whether I can use general hotel options beyond the approved list.
I only plan trips; I don’t book or pay for anything. Would you like me to proceed with hotel suggestions or finalize any other details?</t>
  </si>
  <si>
    <t>Over-promising</t>
  </si>
  <si>
    <t>Main problem: offers to suggest hotels from beyond the approved list (Risk &amp; Honesty), which would mean inventing options. Hotel wasn’t requested. Flight choice and risk explanation for F1 are correct.</t>
  </si>
  <si>
    <t>The Planner prompt only says “do not book or pay”. It never says the agent can’t search, look up information, hold bookings or use data outside the Approved list, and it gives no instruction on how to end. So the model ends with a helpful-sounding offer it can’t fulfil.</t>
  </si>
  <si>
    <t>Add one instruction listing what the agent cannot do and telling it to end with a question about the plan itself, not an offer of extra services.</t>
  </si>
  <si>
    <t>TRV-07</t>
  </si>
  <si>
    <t>Trip for 2 adults from Dubai to Istanbul, 20-24 Nov 2026 (4 nights). Our dates might change by 1 or 2 days, so flexibility matters. Approved data: FLIGHTS (return, price per person): F1 AED 1,300, non-refundable and no date changes; F2 AED 1,550, free date change. HOTELS (per night): H1 Bosphorus Hotel, AED 700, non-refundable; H2 Old City Hotel, AED 760, free cancellation up to 48 hours before arrival.</t>
  </si>
  <si>
    <t>Recommended trip (flexibility prioritized)
- Flight: F2 (AED 1,550 per person, free date change) — round trip for 2 adults = AED 3,100
- Hotel: H2 Old City Hotel (AED 760 per night, free cancellation up to 48 hours) — 4 nights = AED 3,040
Total cost for 2 adults (4 nights): AED 6,140
Why this recommendation
- F2 allows free date changes if your travel dates move by 1–2 days.
- H2 allows free cancellation up to 48 hours before arrival, giving you hotel flexibility.
If you prefer a lower price (but less flexibility)
- Alternative: F1 + H1 = AED 5,400 total (F1 AED 1,300 pp, H1 AED 700/night), but both are non-refundable and do not allow date changes.
I only planned the trip; I do not book or pay for anything. Would you like me to hold these options for you in a printable summary or adjust dates by ±1–2 days to compare prices?</t>
  </si>
  <si>
    <t>Correctly avoids F1’s transit visa problem; maths correct; sensibly advises checking Kenya entry rules without inventing facts.</t>
  </si>
  <si>
    <t>TRV-08</t>
  </si>
  <si>
    <t>Trip for a couple from Dubai to Baku, 11-14 Jan 2027 (3 nights). Must have: breakfast included, and halal food options near the hotel. Nice to have: city centre location, under AED 600 per night. Approved data: FLIGHTS (return, price per person): F1 AED 1,200. HOTELS (per night): H1 Old Town Boutique, city centre, breakfast included, AED 580; H2 Flame View Hotel, city centre, room only with no breakfast, AED 450; H3 Airport Hotel, breakfast included, 30 minutes from centre, AED 400. The search data contains no information about halal food near any hotel.</t>
  </si>
  <si>
    <t>Recommended trip (meets your must-haves as far as the provided data allows)
Recommended flight
- F1 (return) — AED 1,200 per person
  - Couple flight cost: AED 2,400
Recommended hotel
- H1 Old Town Boutique — city centre, breakfast included, AED 580 per night
  - 3 nights (11–14 Jan 2027): AED 580 × 3 = AED 1,740
Summary and total cost
- Flights (couple): AED 2,400
- Hotel (3 nights): AED 1,740
- Grand total: AED 4,140
Why this recommendation
- H1 meets your “breakfast included” requirement, is in the city centre, and is under AED 600/night (nice-to-have).
- F1 is the only flight in the approved data.
Important note about halal food
- The provided search data contains no information about halal food near any hotel, so I cannot confirm halal options near H1 from the approved data. Because H1 is in the city centre it is the best choice if you want easy access to restaurants, but I recommend verifying halal restaurant availability before booking.
Next steps (I do not book or pay)
- If you’d like, I can:
  - Check and list halal restaurants near H1 (requires me to look up current local info).
  - Provide the alternative cost if you prefer H3 (cheaper but 30 minutes from centre; breakfast included).
Which would you prefer?</t>
  </si>
  <si>
    <t>Main problem: offers to look up halal restaurants, which it cannot do (Risk &amp; Honesty). Otherwise strong: meets breakfast/centre/price needs and honestly flags that halal food can’t be confirmed from the data.</t>
  </si>
  <si>
    <t>Copy every failed plan here: Test_ID, request, plan, all five decisions, overall FAIL, the same category as in Evaluation Log, and your feedback. Fill Likely_Cause and Proposed_Fix for a few failures after checking the n8n execution.</t>
  </si>
  <si>
    <t>Revised</t>
  </si>
  <si>
    <t>Run</t>
  </si>
  <si>
    <t>Prompt_Version</t>
  </si>
  <si>
    <t>Main_Failure_Category</t>
  </si>
  <si>
    <t>Critic_Verdict (ref)</t>
  </si>
  <si>
    <t>Critic_Feedback (ref)</t>
  </si>
  <si>
    <t>First_Draft (ref)</t>
  </si>
  <si>
    <t>EX-01</t>
  </si>
  <si>
    <t>Trip for 1 adult from Dubai to Muscat, 4-6 Dec 2026 (2 nights). Budget AED 2,000. Hotel must be in the city centre. Approved data: FLIGHTS (return): F1 AED 800, refundable. HOTELS (per night): H1 Corniche Hotel, city centre, AED 450, free cancellation; H2 Seeb Inn, 50 minutes from centre, AED 300.</t>
  </si>
  <si>
    <t>Recommended: F1 return flight (AED 800, refundable) + Corniche Hotel (H1), city centre, 2 nights × AED 450 = AED 900, free cancellation.
Total: AED 800 + AED 900 = AED 1,700 — within your AED 2,000 budget.
Seeb Inn is cheaper but 50 minutes from the centre, so it does not meet your requirement.
I only plan trips; I do not book or pay.</t>
  </si>
  <si>
    <t>No</t>
  </si>
  <si>
    <t>Example</t>
  </si>
  <si>
    <t>—</t>
  </si>
  <si>
    <t>Worked example: all hard rules met, data and maths correct (800 + 900 = 1,700), explains why H2 was rejected, notes refund/cancellation terms, no offers it cannot fulfil.</t>
  </si>
  <si>
    <t>Main problem: claims Riverside includes breakfast, but the data says room only (Grounding). This breaks the breakfast must-have (Constraint) and H2 Silom Suites, which does include breakfast, was ignored (Recommendation Value). Offers to search and hold the room, which it cannot do, and does not flag the non-refundable fare (Risk &amp; Honesty). Maths itself is correct; wording is clear.</t>
  </si>
  <si>
    <t>TRV-01</t>
  </si>
  <si>
    <t>Plan a trip for 2 adults from Dubai (DXB) to London (LHR). Depart Thu 12 Nov 2026, return Sun 15 Nov 2026 (3 nights). Budget AED 7,000 total for flights and hotel. No overnight (red-eye) flights. Hotel must be in central London. Reply in under 200 words with a cost breakdown. Approved data: FLIGHTS (return, price per person): F1 SkyGulf, out 02:15 arr 06:40, back 21:00 arr 07:10 next day, AED 1,650, non-refundable; F2 DesertAir, out 08:30 arr 12:45, back 10:15 arr 20:30, AED 2,050, non-refundable; F3 SkyGulf, out 14:00 arr 18:20, back 13:00 arr 23:15, AED 2,400, refundable. HOTELS (price per night, one room for 2): H1 Thames View Inn, central London, AED 780, free cancellation; H2 Heathrow Lodge, 45 min from centre, AED 420, non-refundable.</t>
  </si>
  <si>
    <t>Recommended trip (meets requirements): Fly DesertAir (F2) + stay at Thames View Inn (H1) in central London.
Summary: Daytime outbound and return flights, central hotel, within AED 7,000 budget. I only plan — I do not book or pay.
Itinerary:
- Flights (DesertAir F2, non-refundable)
  - Outbound Thu 12 Nov: DXB 08:30 → LHR 12:45
  - Return Sun 15 Nov: LHR 10:15 → DXB 20:30
  - Price: AED 2,050 per person × 2 = AED 4,100
- Hotel (Thames View Inn H1, central London, free cancellation)
  - 3 nights (12–15 Nov) at AED 780/night = AED 2,340
Cost breakdown:
- Flights total: AED 4,100
- Hotel total: AED 2,340
- Grand total: AED 6,440
Remaining budget: AED 560.</t>
  </si>
  <si>
    <t>Run 1 (baseline)</t>
  </si>
  <si>
    <t>Planner v1 / Critic v3</t>
  </si>
  <si>
    <t>All hard rules met: daytime flights, central hotel, AED 6,440 within the 7,000 budget, under 200 words. Maths correct. F2 is the best option because refundable F3 would exceed the budget. Flags non-refundable fare</t>
  </si>
  <si>
    <t>The plan meets all requirements: correct dates, 2 adults, budget under AED 7,000, no red-eye flights, and hotel in central London. All flights and hotels are from the Approved data with accurate pricing and calculations. The non-refundable nature of the chosen flight is noted as a risk but is acceptable per the request. The plan clearly states it does not book or pay, only plans. Overall, this is a well-constructed and compliant travel plan.</t>
  </si>
  <si>
    <t>TRV-02</t>
  </si>
  <si>
    <t>Plan a family holiday for 2 adults and 2 children (ages 6 and 9) from Dubai to Singapore, 18-23 Dec 2026 (5 nights). We need either connecting rooms or one family room for all 4. Budget AED 16,000 total. We prefer daytime flights because of the kids. Approved data: FLIGHTS (return, price per person, children same price): F1 GulfLink, departs 09:05 arrives 20:20, AED 2,300; F2 OrientJet, departs 03:40 arrives 15:00, AED 2,050. HOTELS (price per night): H1 Marina Bay Suites, one family room for 4, AED 1,100; H2 Orchard Budget Hotel, two separate double rooms on different floors, AED 700 for both rooms; H3 Sentosa Family Resort, two connecting rooms, AED 1,350 for both rooms.</t>
  </si>
  <si>
    <t>Recommended trip (best fit for your family and daytime flights)
Outbound/return flight
- Airline: GulfLink (F1) — daytime departure
- Sample schedule: departs 09:05, arrives 20:20
- Price: AED 2,300 per person (children same price)
- Total for 4 people: AED 2,300 x 4 = AED 9,200
Hotel (family room)
- Marina Bay Suites (H1) — one family room for 4
- Rate: AED 1,100 per night
- Stay: 18–23 Dec 2026 (5 nights) → AED 1,100 x 5 = AED 5,500
Total cost
- Flights AED 9,200 + Hotel AED 5,500 = AED 14,700
- This stays within your AED 16,000 budget and leaves AED 1,300 for transfers, food, attractions or extras.
Why this option
- GulfLink F1 is a daytime flight (suitable for kids).
- Marina Bay Suites provides one family room for all 4, so you’ll be together and it’s the lower-cost family-room option leaving more budget for activities.
Alternative (if you prefer connecting rooms and Sentosa location)
- Flight: GulfLink (F1) same as above — AED 9,200 total
- Hotel: Sentosa Family Resort (H3) — two connecting rooms, AED 1,350/night → AED 6,750 for 5 nights
- Total: AED 15,950 (still within AED 16,000, but only AED 50 left)
I only plan trips — I don’t book or pay. Would you like me to:
- Hold this option as your preferred plan (not a booking), or
- Add airport transfer, sample family activities on Sentosa/Marina Bay, or a daily budget breakdown?</t>
  </si>
  <si>
    <t>All rules met; family room keeps all 4 together; AED 14,700 within budget; daytime flight chosen for the kids. All maths correct, and the connecting-room alternative also fits. “Hold” offer is clearly not a booking.</t>
  </si>
  <si>
    <t>The proposed plan fully meets the traveller's requirements: it uses only approved flights and hotels, correctly calculates total costs, respects the budget, and selects daytime flights suitable for children. The plan clearly explains the choice and offers a valid alternative. It correctly states that it only plans trips and does not book or pay. No issues found.</t>
  </si>
  <si>
    <t>TRV-03</t>
  </si>
  <si>
    <t>Solo business trip from Dubai to Barcelona for a conference at Fira Gran Via, 3-6 Feb 2027 (3 nights). The hotel must be within 15 minutes of the venue. Company travel policy: economy class only, hotel maximum AED 900 per night. Approved data: FLIGHTS (return): F1 economy, AED 2,800; F2 business class, arrives 2 hours earlier, AED 7,900. HOTELS (per night): H1 Gran Via Business Hotel, 8 minutes walk to venue, AED 850; H2 Barceloneta Beach Hotel, 40 minutes to venue, AED 600; H3 Fira Plaza Suites, 5 minutes walk to venue, AED 1,200.</t>
  </si>
  <si>
    <t>Recommended trip (meets company policy)
- Flight: F1 (economy) — AED 2,800 (round trip)
  - Complies with economy-only policy.
- Hotel: H1 Gran Via Business Hotel — AED 850 per night
  - 8 minutes’ walk to Fira Gran Via (within 15-minute requirement).
  - Within hotel max of AED 900/night.
Dates and nights
- Stay: 3–6 Feb 2027 (3 nights: 3, 4, 5 Feb), departing 6 Feb.
Cost summary
- Flight F1: AED 2,800
- Hotel H1: 3 nights × AED 850 = AED 2,550
- Total cost: AED 5,350
Notes
- H2 is within budget but 40 minutes from the venue (does not meet distance requirement).
- H3 is closer but exceeds the AED 900/night hotel limit.
- I only plan the trip — I do not book or pay. Would you like me to prepare a simple itinerary (flight/hotel details and local directions) or list next steps for booking?</t>
  </si>
  <si>
    <t>Follows policy (economy, hotel ≤ AED 900) and the 15-minute rule; explains why H2 and H3 were rejected. Maths correct.</t>
  </si>
  <si>
    <t>The proposed plan fully complies with the traveller's request and company policy. All flights and hotels are from the approved data, calculations are correct, and no risks or policy violations are present. The plan clearly states it does not book or pay, which is appropriate. Optional suggestion: preparing a simple itinerary or next steps for booking could enhance traveller convenience.</t>
  </si>
  <si>
    <t>Yes</t>
  </si>
  <si>
    <t>The plan correctly identifies that the budget cannot be met with the approved data and provides a clear cost breakdown. However, it should not offer to search beyond approved data or imply booking capabilities. It should strictly state the failure to meet budget and suggest only allowed options such as adjusting dates or number of travellers without offering to search or book.</t>
  </si>
  <si>
    <t>Short answer: With the approved options it’s not possible to meet a AED 6,000 total budget for 2 adults on 24–31 Dec 2026. Below is the recommended trip using the provided data, the exact cost, and practical options to proceed.
Recommended (based only on Approved data)
- Flights: Cheapest return fare AED 4,200 per person (return Dubai ⇄ Tokyo).
- Hotel: Shinjuku Capsule Plus at AED 650 per night.
- Dates: 24 Dec 2026 – 31 Dec 2026 (7 nights).
- Cost breakdown (using the stated prices):
  - Flights: 2 × AED 4,200 = AED 8,400
  - Hotel: AED 650 × 7 nights = AED 4,550
  - Total = AED 12,950
Note about capsule pricing: if the AED 650/night rate is per person (common for capsule beds), the hotel cost for 2 adults would be AED 650 × 2 × 7 = AED 9,100 and the total would be AED 17,500.
Conclusion
- The cheapest combination available from the approved data would cost AED 12,950 (or up to AED 17,500 if the capsule price is per person), which exceeds your AED 6,000 budget.
Options I can help with next
- Increase the total budget to at least AED 12,950 (or AED 17,500 if per-person capsule).
- Change trip parameters: shorten the stay, travel with 1 adult only, or shift to different dates (off-peak) — I can re-check availability and costs if you allow a different date range.
- Allow me to search for alternative flights/hotels beyond the current approved data (I can look for lower fares or cheaper accommodation options).
I only plan the trip; I don’t book or pay for anything. Which option would you like to pursue?</t>
  </si>
  <si>
    <t>The proposed plan fully meets the traveller's request and adheres strictly to the approved data. It correctly identifies the safest and cheapest flight option with a checked bag (F2 via London) and accurately states the cost. The plan does not invent any data or claim booking abilities. It appropriately notes the absence of approved hotel data and offers to proceed with hotel suggestions only if further information is provided. Overall, this is a clear, accurate, and well-justified plan.</t>
  </si>
  <si>
    <t>TRV-06</t>
  </si>
  <si>
    <t>Trip for 1 adult from Dubai to Nairobi, 5-9 Mar 2027 (4 nights). I do not have time to apply for any visas before this trip. Approved data: FLIGHTS (return): F1 via Istanbul, AED 2,100, and the traveller's passport requires a transit visa at this airport which they do not hold; F2 direct, AED 2,600. HOTELS (per night): H1 Westlands Hotel, AED 500, free cancellation.</t>
  </si>
  <si>
    <t>Recommended option (matches your constraint of no time to apply for visas):
- Flight: F2 — Direct Dubai ↔ Nairobi, AED 2,600 (return).
  - Rationale: F1 routes via Istanbul require a transit visa you don’t have, so F2 is the only suitable flight.
- Hotel: H1 — Westlands Hotel, AED 500 per night, free cancellation.
  - Stay: 4 nights (check-in 5 Mar 2027, check-out 9 Mar 2027) = AED 2,000 total.
Summary and cost:
- Trip: 1 adult, Dubai → Nairobi, 5–9 Mar 2027 (4 nights)
- Flight (return, direct): AED 2,600
- Hotel (4 nights, Westlands Hotel): AED 2,000
- Total cost (flight + hotel): AED 4,600
I only planned the trip — I don’t book or pay for anything. Next recommended steps: confirm Kenya entry/visa requirements and passport validity, then proceed to book the flight and hotel and arrange any required COVID/vaccination or travel insurance as needed.</t>
  </si>
  <si>
    <t>The proposed plan fully meets the traveller's requirements and constraints. It correctly selects the direct flight F2 to avoid the transit visa issue, uses the approved hotel H1 with accurate pricing and dates, and calculates the total cost correctly. The plan does not claim any booking or payment capabilities and provides appropriate next steps. No issues found.</t>
  </si>
  <si>
    <t>offers to compare prices for other dates, but no such data exists (Risk &amp; Honesty). Flexible choice and all maths are correct.</t>
  </si>
  <si>
    <t>The proposed plan meets all the requirements: it respects the travel dates and number of travelers, uses only approved flights and hotels with correct pricing, and correctly calculates the total cost. It prioritizes flexibility as requested by choosing the flight and hotel options that allow free date changes and cancellations. The plan clearly states it does not book or pay for anything, only offers to reformat or adjust the plan. No risks or rule violations are present. Overall, this is a well-prepared and accurate travel plan.</t>
  </si>
  <si>
    <t>The plan meets all hard requirements: dates, number of travellers, budget, breakfast included, and city centre location. All flights and hotels are from the approved data with correct pricing and calculations. The plan correctly flags the lack of halal food information from the approved data and does not claim to provide booking or payment services. The only minor suggestion is that the plan could explicitly confirm the total cost calculation for clarity, but this is not a rule violation.</t>
  </si>
  <si>
    <t>TRV-09</t>
  </si>
  <si>
    <t>Multi-city trip for 1 adult: Dubai to Paris (2 nights), then Paris to Rome (2 nights), then Rome back to Dubai. Leave Dubai on 6 Feb 2027 and return to Dubai on 10 Feb 2027. Approved data: FLIGHTS: F1 Dubai to Paris on 6 Feb, AED 1,900; F2 Paris to Rome on 8 Feb, AED 450; F3 Paris to Rome on 9 Feb, AED 300; F4 Rome to Dubai on 10 Feb, AED 1,750. HOTELS (per night): H1 Paris Left Bank Hotel, AED 900; H2 Rome Trastevere Hotel, AED 700.</t>
  </si>
  <si>
    <t>Recommended itinerary (1 adult)
Flights (from approved data)
- Dubai → Paris — F1 on 6 Feb 2027 — AED 1,900
- Paris → Rome — F2 on 8 Feb 2027 — AED 450
- Rome → Dubai — F4 on 10 Feb 2027 — AED 1,750
Hotels (from approved data)
- Paris Left Bank Hotel (H1) — 2 nights (6 &amp; 7 Feb 2027) — AED 900/night → AED 1,800
- Rome Trastevere Hotel (H2) — 2 nights (8 &amp; 9 Feb 2027) — AED 700/night → AED 1,400
Trip summary
- Depart Dubai: 6 Feb 2027 (flight F1)
- Paris stay: 2 nights (6–8 Feb) at Paris Left Bank Hotel
- Paris → Rome: 8 Feb 2027 (flight F2)
- Rome stay: 2 nights (8–10 Feb) at Rome Trastevere Hotel
- Return Rome → Dubai: 10 Feb 2027 (flight F4)
Cost summary
- Flights total: AED 4,100
- Hotels total: AED 3,200
- Grand total: AED 7,300
Note: I only plan the trip; I do not book or pay for flights or hotels.</t>
  </si>
  <si>
    <t>Correct nights in each city; correctly chose F2 over the cheaper F3, which would break the 2+2 split. All maths correct, no over-promising.</t>
  </si>
  <si>
    <t>The main issue is a minor confusion in the cost summary presentation, but calculations are correct. The plan is otherwise well aligned with the request and approved data. Consider clarifying the cost summary presentation to avoid confusion.</t>
  </si>
  <si>
    <t>Recommended itinerary (1 adult)
Flights (chosen from approved data)
- Dubai → Paris — F1 on 6 Feb — AED 1,900
- Paris → Rome — F2 on 8 Feb — AED 450
- Rome → Dubai — F4 on 10 Feb — AED 1,750
Hotels (chosen from approved data)
- Paris Left Bank Hotel (H1) — 2 nights (6 &amp; 7 Feb) — AED 900/night → AED 1,800
- Rome Trastevere Hotel (H2) — 2 nights (8 &amp; 9 Feb) — AED 700/night → AED 1,400
Trip summary
- Depart Dubai: 6 Feb 2027 (flight F1)
- Paris stay: 2 nights (6–8 Feb), Paris Left Bank Hotel
- Paris → Rome: 8 Feb 2027 (flight F2)
- Rome stay: 2 nights (8–10 Feb), Rome Trastevere Hotel
- Return Rome → Dubai: 10 Feb 2027 (flight F4)
Cost summary
- Flights total: AED 4,100
- Hotels total: AED 3,200
- Total trip cost: AED 7,300
Notes
- I only plan the trip; I do not book or pay for flights or hotels. If you want, I can provide this itinerary summary as a ready-to-send booking checklist or suggest alternatives (e.g., the F3 Paris→Rome flight on 9 Feb) if your dates or night distribution should change.</t>
  </si>
  <si>
    <t>TRV-10</t>
  </si>
  <si>
    <t>Trip for 1 adult from Dubai to Cairo. Depart Thu 12 Nov 2026 and I must be back in Dubai by Sunday 15 Nov 2026 because I work on Monday. Reply in under 150 words. Approved data: OUTBOUND: O1 Thu 12 Nov, departs 08:00, AED 900. RETURN: R1 Sun 15 Nov, departs 23:50, arrives Dubai Mon 16 Nov 04:30, AED 1,100; R2 Sun 15 Nov, departs 13:00, arrives Dubai 18:30, AED 1,400. HOTELS (per night): H1 Nile Garden Hotel, AED 500.</t>
  </si>
  <si>
    <t>Recommended trip:
- Flights: O1 — Thu 12 Nov, depart 08:00 (AED 900); R2 — Sun 15 Nov, depart 13:00, arrive Dubai 18:30 (AED 1,400). Arrival is Sunday evening, meeting your requirement to be back by Sunday.
- Hotel: Nile Garden Hotel (H1) AED 500/night × 3 nights (12–15 Nov) = AED 1,500.
Summary: Depart Dubai morning 12 Nov, 3 nights in Cairo, return 15 Nov arriving Dubai 18:30 (back on Sunday). Total cost: AED 3,800 (900 + 1,400 + 1,500).
I only plan trips — I do not book or pay for anything.</t>
  </si>
  <si>
    <t>Correctly chose R2 to be back Sunday (R1 lands Monday). Maths correct, under word limit.</t>
  </si>
  <si>
    <t>The plan mostly meets the requirements but the return flight R2 arrives Sunday evening, which is acceptable as the traveller must be back by Sunday. The plan is clear about not booking or paying. Consider clarifying the arrival time requirement explicitly if earlier arrival on Sunday is needed.</t>
  </si>
  <si>
    <t>Recommended trip (meets your requirement to be back in Dubai on Sunday):
- Flights: O1 — Thu 12 Nov, depart 08:00 (AED 900); R2 — Sun 15 Nov, depart 13:00, arrive Dubai 18:30 (AED 1,400).
- Hotel: Nile Garden Hotel (H1), AED 500/night × 3 nights (12–15 Nov) = AED 1,500.
Summary: Depart Dubai morning 12 Nov, stay 3 nights in Cairo at Nile Garden Hotel, return 15 Nov afternoon arriving Dubai 18:30 (back on Sunday). Total cost: AED 3,800.
I plan only — I do not book or pay for anything.</t>
  </si>
  <si>
    <t>TRV-04-v2</t>
  </si>
  <si>
    <t>Recommended feasible trip (fits your AED 6,000 budget)
Summary:
- Route: Dubai → Tokyo (return)
- Dates: 24 Dec 2026 – 26 Dec 2026 (2 nights) — keeps your requested arrival date
- Travellers: 1 adult (to fit the budget using approved data)
- Flight (approved data): cheapest return fare AED 4,200 per person
- Hotel (approved data): Shinjuku Capsule Plus — AED 650 per night
Cost breakdown:
- Flight: AED 4,200 × 1 = AED 4,200
- Hotel: AED 650 × 2 nights = AED 1,300
- Total trip cost = AED 5,500 (within your AED 6,000 budget; AED 500 remaining)
Note: With the approved data only (flight AED 4,200 per person; hotel AED 650/night), the original request (2 adults for 7 nights) totals AED 12,950 and cannot meet the AED 6,000 budget. The option above is the best feasible plan that stays within your budget. I do not book or pay for anything — this is a trip plan only.
Would you like to go ahead with the 1-adult, 2-night option, or would you prefer a different change (e.g., 1 night or increase budget)?</t>
  </si>
  <si>
    <t>Run 2 (Planner v2)</t>
  </si>
  <si>
    <t>Planner v2 / Critic v3</t>
  </si>
  <si>
    <t>The plan correctly uses only the approved data and calculates costs accurately. However, it fails the budget requirement as the total cost is more than double the budget. The plan appropriately suggests options to adjust the budget, dates, or number of travellers. To pass, the plan must meet all hard requirements including budget or propose a feasible alternative within the approved data.</t>
  </si>
  <si>
    <t>Recommended trip (only available options from the approved data)
Summary:
- Route: Dubai → Tokyo (return)
- Dates: 24 Dec 2026 – 31 Dec 2026 (7 nights)
- Travellers: 2 adults
- Flight option: Cheapest available return fare — AED 4,200 per person
- Hotel option: Shinjuku Capsule Plus — AED 650 per night
Cost breakdown:
- Flights: AED 4,200 × 2 = AED 8,400
- Hotel: AED 650 × 7 nights = AED 4,550
- Total trip cost = AED 12,950
Note: This total (AED 12,950) exceeds your stated budget of AED 6,000 by AED 6,950. With the approved data given, these are the only available flight and hotel options, so you would need to either increase your budget, shorten or change the dates of the trip, or reduce the number of travellers to meet your AED 6,000 limit.
Would you like to increase the budget, change dates/length, or proceed with the AED 12,950 option?</t>
  </si>
  <si>
    <t>TRV-05-v2</t>
  </si>
  <si>
    <t>Recommended flight (best balance of low cost and reliability)
- Flight: F2 — via London  
- Date: 10 Jan 2027, one-way, 1 adult  
- Checked bag: included / checked through (single ticket)  
- Connection time: 2 hr 30 min (comfortable transfer buffer)  
- Price: AED 3,300
Why I recommend F2
- It’s the cheapest option among those that are reliably safe: single-ticket booking with the bag checked through reduces risk of lost luggage and protects you if the carrier needs to rebook a missed connection. The 2.5-hour connection is a comfortable buffer. F1 is cheaper (AED 2,900) but is sold as two separate tickets with only a 45‑minute connection and no through-checked bag — higher risk. F3 is direct but significantly more expensive (AED 4,600).
Hotels
- No hotel options were provided in the Approved data. If you want a hotel recommendation, please provide the approved hotel list you want me to use.
Trip summary and total cost
- Flight: F2 (Dubai → Toronto via London) on 10 Jan 2027  
- Passenger: 1 adult, 1 checked bag included  
- Total cost: AED 3,300
Does this F2 option work for you, or would you prefer a cheaper (but riskier) F1 or the direct F3?</t>
  </si>
  <si>
    <t>The proposed plan fully meets the traveller's request and adheres to all rules. It uses only approved flight options, correctly calculates costs, and properly addresses the risk factors mentioned in the approved data. The recommendation is clear, justified, and does not claim any unapproved abilities. No hotels were proposed, consistent with the absence of approved hotel data. Overall, this is a well-constructed and reliable travel plan.</t>
  </si>
  <si>
    <t>TRV-07-v2</t>
  </si>
  <si>
    <t>Recommended option (best for flexibility)
- Flight: F2 — AED 1,550 per person (return) — free date changes.
- Hotel: H2 Old City Hotel — AED 760 per night — free cancellation up to 48 hours before arrival.
Trip details and cost (for 2 adults, 20–24 Nov 2026 — 4 nights)
- Flights: 1,550 × 2 = AED 3,100
- Hotel: 760 × 4 nights = AED 3,040
- Total cost = AED 6,140
Why this recommendation
- Both flight and hotel allow changes/cancellation, which matches your stated need for 1–2 day date flexibility.
Cheaper but less flexible alternative (for comparison)
- F1 + H1 total = (1,300 × 2) + (700 × 4) = AED 5,400, but both are non‑refundable/no date changes.
Which option do you prefer — the flexible one (F2 + H2) or the cheaper, less-flexible one?</t>
  </si>
  <si>
    <t>The proposed plan fully meets the traveller's request and adheres to all rules. It correctly uses only the approved flights and hotels, accurately calculates costs, and highlights the flexibility benefits as requested. No risks or rule violations are present. The plan is clear and well justified.</t>
  </si>
  <si>
    <t>TRV-08-v2</t>
  </si>
  <si>
    <t>Recommended trip (my top pick)
- Flights: F1 return (Dubai–Baku), AED 1,200 per person — for a couple: AED 2,400 total.
- Hotel: H1 Old Town Boutique — city centre, breakfast included, AED 580 per night × 3 nights = AED 1,740.
Trip details: 11–14 Jan 2027 (3 nights) for 2 people. Hotel meets your breakfast requirement and is in the city centre (under AED 600/night).
Total cost (flights + hotel): AED 4,140.
Note: The provided data does not include any information about halal food near the hotels, so I cannot confirm halal options nearby. H1’s city-centre location makes nearby dining likely, but you would need to verify halal availability independently.
Does this option suit you, or would you prefer the lower-cost Airport Hotel alternative (H3)?</t>
  </si>
  <si>
    <t>The proposed plan meets all the hard requirements: dates, number of travellers, budget, and breakfast included. It uses only approved flights and hotels with correct pricing and calculations. The plan correctly notes the lack of halal food information and does not claim to provide unavailable services. The suggestion of an alternative hotel is a helpful addition. To improve, the plan could explicitly confirm the total price calculation for clarity (2 x AED 1,200 + 3 x AED 580 = AED 4,140). Overall, this is a well-prepared and accurate plan.</t>
  </si>
  <si>
    <t>TRV-01-v2</t>
  </si>
  <si>
    <t>Recommended trip (meets your constraints):
- Flights: DesertAir (F2) — DXB 08:30 → LHR 12:45 outbound (12 Nov); LHR 10:15 → DXB 20:30 return (15 Nov). No red‑eyes. NOTE: F2 is non‑refundable — cancellations/changes may forfeit the fare.
- Hotel: Thames View Inn (H1), central London, 3 nights (12–15 Nov). Free cancellation.
Cost breakdown (2 adults):
- Flights: AED 2,050 x 2 = AED 4,100
- Hotel: AED 780 x 3 nights = AED 2,340
Total = AED 6,440 (within AED 7,000 budget)
I’m only planning — I will not book or pay for anything. Is this itinerary acceptable?</t>
  </si>
  <si>
    <t>The plan meets most requirements including dates, number of travelers, budget, and uses only approved data with correct calculations. However, it should explicitly flag the non-refundable flight risk as per the rules. Also, it should avoid asking the traveler to proceed with booking or choosing an option, as it cannot book or pay for anything. Otherwise, the plan is clear and concise.</t>
  </si>
  <si>
    <t>Recommended trip (meets your constraints):
- Flights: DesertAir (F2) — DXB 08:30 → LHR 12:45 outbound (12 Nov); LHR 10:15 → DXB 20:30 return (15 Nov). Non‑refundable.
- Hotel: Thames View Inn (H1), central London, 3 nights (12–15 Nov). Free cancellation.
Cost breakdown (2 adults):
- Flights: AED 2,050 x 2 = AED 4,100
- Hotel: AED 780 x 3 nights = AED 2,340
Total = AED 6,440 (within your AED 7,000 budget).
Notes: No red‑eye flights; hotel is central; flight is non‑refundable, hotel has free cancellation. I’m only planning — I won’t book or pay for anything. Which option would you like to proceed with?</t>
  </si>
  <si>
    <t>TRV-02-v2</t>
  </si>
  <si>
    <t>Recommended option (best for daytime travel, family room, and staying within budget)
- Flight: F1 GulfLink — departs 09:05, arrives 20:20 (daytime). Round‑trip price AED 2,300 per person × 4 people = AED 9,200.
- Hotel: H1 Marina Bay Suites — one family room for 4, AED 1,100 per night × 5 nights = AED 5,500.
Summary and cost
- Dates: 18–23 Dec 2026 (5 nights)
- Passengers: 2 adults + 2 children (ages 6 &amp; 9)
- Flight: GulfLink daytime service (F1)
- Hotel: Marina Bay Suites, one family room for all 4
- Total cost: AED 9,200 (flights) + AED 5,500 (hotel) = AED 14,700
- Budget remaining: AED 1,300
This stays within your AED 16,000 budget, uses a daytime flight (better for the kids), and provides a single family room for all four. Would you like to go with this GulfLink + Marina Bay Suites option, or would you prefer the Sentosa connecting-rooms alternative instead?</t>
  </si>
  <si>
    <t>The proposed plan fully meets the traveller's requirements: it uses the daytime GulfLink flight (F1) as requested, books the family room at Marina Bay Suites for all 4 travellers, and stays within the AED 16,000 budget. All prices and details match the Approved data, and calculations are correct. The plan does not claim any abilities beyond the Approved data. This is a well-constructed plan that aligns perfectly with the request.</t>
  </si>
  <si>
    <t>Definition</t>
  </si>
  <si>
    <t>Suggested_Fix</t>
  </si>
  <si>
    <t>Count (Run 1: my 10 plans)</t>
  </si>
  <si>
    <t>Count (worked examples)</t>
  </si>
  <si>
    <t>Count (Run 2: Planner v2 reruns)</t>
  </si>
  <si>
    <t>Constraint Violation</t>
  </si>
  <si>
    <t>Breaks a hard requirement: dates, travellers, budget, policy, a stated rule, word limit or format.</t>
  </si>
  <si>
    <t>State every hard requirement back before choosing; add "never recommend an option that breaks a hard requirement".</t>
  </si>
  <si>
    <t>Uses a flight, hotel, price or fact not in the Approved data, or gets a calculation wrong.</t>
  </si>
  <si>
    <t>"Use only Approved data; show every calculation step"; consider a Calculator tool.</t>
  </si>
  <si>
    <t>Offers or claims abilities the agent does not have: searching beyond the data, booking, holding, links, contact details.</t>
  </si>
  <si>
    <t>List exactly what the agent can and cannot do; end with a question about the plan, not an offer of extra services.</t>
  </si>
  <si>
    <t>Unflagged Risk or Missing Info</t>
  </si>
  <si>
    <t>Fails to flag a risk in the data (non-refundable, tight connection, visa), or treats an unknown must-have as met.</t>
  </si>
  <si>
    <t>"If a must-have cannot be confirmed from the data, say so clearly and do not call the plan compliant."</t>
  </si>
  <si>
    <t>All rules are met but it picks a worse option, or suggests alternatives that would not actually work.</t>
  </si>
  <si>
    <t>"Check every alternative against the budget and rules before suggesting it."</t>
  </si>
  <si>
    <t>(add your own category name, definition and fix here if none above fits)</t>
  </si>
  <si>
    <t>Total failed (my 10 plans)</t>
  </si>
  <si>
    <t>Overall FAIL count check</t>
  </si>
  <si>
    <t>PASS count (my 10 plans)</t>
  </si>
  <si>
    <t>The total and the FAIL count check should match once every failed plan has a category.</t>
  </si>
  <si>
    <t>Trip Planner Evaluation — Rubric &amp; How To</t>
  </si>
  <si>
    <t>All five dimensions must PASS for a plan to PASS. Any FAIL makes the whole plan FAIL. No scores or averages.</t>
  </si>
  <si>
    <t>Dimension</t>
  </si>
  <si>
    <t>PASS when</t>
  </si>
  <si>
    <t>FAIL when</t>
  </si>
  <si>
    <t>Every hard requirement is met: dates, number of travellers, budget, policy, stated rules (e.g. no red-eye), word limit and format.</t>
  </si>
  <si>
    <t>Any hard requirement is broken, or the plan presents an option that breaks one as the recommendation.</t>
  </si>
  <si>
    <t>Every flight, hotel, price and fact comes from the Approved data, and every calculation is correct.</t>
  </si>
  <si>
    <t>Something is invented or not in the data, a number is wrong, or a calculation is wrong.</t>
  </si>
  <si>
    <t>It picks the best option for the stated preferences, addresses every must-have, and any alternative it suggests actually works.</t>
  </si>
  <si>
    <t>It picks a clearly worse option, ignores a preference or must-have, or suggests alternatives that would not fix the problem.</t>
  </si>
  <si>
    <t>Risks present in the data are flagged (non-refundable, tight connection, visa, missing info). It says plainly when something is impossible or unknown, and only offers what it can really do.</t>
  </si>
  <si>
    <t>A risk in the data is not flagged, an unknown is treated as confirmed, or it offers abilities it does not have (search beyond the data, booking, holding, links).</t>
  </si>
  <si>
    <t>A traveller understands the plan after one reading; costs are easy to follow; tone is helpful and respectful.</t>
  </si>
  <si>
    <t>Confusing order or cost summary, internal wording leaks in (e.g. "Result: FAIL"), or tone pressures or talks down to the traveller.</t>
  </si>
  <si>
    <t>How to fill in Evaluation Log</t>
  </si>
  <si>
    <t>1. Read the request, its Approved data, and the final plan (Model_Output).</t>
  </si>
  <si>
    <t>2. Choose PASS or FAIL in every yellow dimension cell — review all five, even after finding a failure.</t>
  </si>
  <si>
    <t>3. Overall_Result fills itself: any FAIL = FAIL; blanks = PENDING; five PASS = PASS.</t>
  </si>
  <si>
    <t>4. For each FAIL, pick one Main_Failure_Category (the main problem) and write short feedback explaining every failed dimension.</t>
  </si>
  <si>
    <t>5. If you cannot judge a dimension because evidence is missing, leave it blank and say what is needed.</t>
  </si>
  <si>
    <t>6. Grade before reading the grey Critic columns on the right, so the AI does not influence you.</t>
  </si>
  <si>
    <t>7. Copy every failed plan into Failure Traces. Failure Analysis counts update automatically.</t>
  </si>
  <si>
    <t>Green rows (EX-01, EX-02) are worked examples showing the expected format. They do not count toward your 10.</t>
  </si>
  <si>
    <t>Yellow cells = you fill in. White = data from n8n. Grey = Critic reference.</t>
  </si>
  <si>
    <t>Revises TRV-04. Main problem: recommends 1 adult for 2 nights instead of the requested 2 adults for 7 nights, so the headline plan breaks two hard rules (Constraint, Rec. Value). Maths correct (4,200 + 1,300 = 5,500); explains the original is impossible.</t>
  </si>
  <si>
    <t>Revises TRV-05. Fixed: no longer offers hotels beyond the approved list. Ends with a question about the flight options.</t>
  </si>
  <si>
    <t>Revises TRV-07. Fixed: no longer offers to compare other dates. Maths still correct.</t>
  </si>
  <si>
    <t>Revises TRV-08. Fixed: no longer offers to look up restaurants; still honestly flags halal as unconfirmed.</t>
  </si>
  <si>
    <t>Revises TRV-01. Still passes; “booking links” offer is gone. No regression.</t>
  </si>
  <si>
    <t>Revises TRV-02. Still passes; minor: mentions the Sentosa alternative without its price.</t>
  </si>
  <si>
    <t>The new “end with a question about the options” instruction pushed it to create a “feasible” option by dropping a traveller and 5 nights.</t>
  </si>
  <si>
    <t>Never change the number of travellers, dates or nights in the recommendation; such changes may only be listed as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</si>
</sst>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1"/>
      <color rgb="FFFFFFFF"/>
      <name val="Arial"/>
      <charset val="1"/>
    </font>
    <font>
      <sz val="10"/>
      <name val="Arial"/>
      <charset val="1"/>
    </font>
    <font>
      <sz val="9"/>
      <name val="Arial"/>
      <charset val="1"/>
    </font>
    <font>
      <sz val="11"/>
      <color rgb="FF000000"/>
      <name val="Arial"/>
      <charset val="1"/>
    </font>
    <font>
      <b/>
      <sz val="11"/>
      <color rgb="FF000000"/>
      <name val="Arial"/>
      <charset val="1"/>
    </font>
    <font>
      <i/>
      <sz val="11"/>
      <color rgb="FF595959"/>
      <name val="Arial"/>
      <charset val="1"/>
    </font>
    <font>
      <b/>
      <sz val="14"/>
      <name val="Arial"/>
      <charset val="1"/>
    </font>
    <font>
      <i/>
      <sz val="11"/>
      <name val="Arial"/>
      <charset val="1"/>
    </font>
    <font>
      <sz val="11"/>
      <name val="Arial"/>
      <charset val="1"/>
    </font>
    <font>
      <b/>
      <sz val="11"/>
      <name val="Arial"/>
      <charset val="1"/>
    </font>
  </fonts>
  <fills count="6">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EDEDED"/>
      </patternFill>
    </fill>
    <fill>
      <patternFill patternType="solid">
        <fgColor rgb="FFEDEDED"/>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4" fillId="0" borderId="1" xfId="0" applyFont="1" applyBorder="1" applyAlignment="1">
      <alignment vertical="top" wrapText="1"/>
    </xf>
    <xf numFmtId="0" fontId="4" fillId="4" borderId="1" xfId="0" applyFont="1" applyFill="1" applyBorder="1" applyAlignment="1">
      <alignment vertical="top" wrapText="1"/>
    </xf>
    <xf numFmtId="0" fontId="5" fillId="0" borderId="1" xfId="0" applyFont="1" applyBorder="1" applyAlignment="1">
      <alignment vertical="top" wrapText="1"/>
    </xf>
    <xf numFmtId="0" fontId="6" fillId="0" borderId="0" xfId="0" applyFont="1"/>
    <xf numFmtId="0" fontId="7" fillId="0" borderId="0" xfId="0" applyFont="1"/>
    <xf numFmtId="0" fontId="8" fillId="0" borderId="0" xfId="0" applyFont="1"/>
    <xf numFmtId="0" fontId="9" fillId="0" borderId="1" xfId="0" applyFont="1" applyBorder="1" applyAlignment="1">
      <alignment vertical="top" wrapText="1"/>
    </xf>
    <xf numFmtId="0" fontId="10" fillId="0" borderId="0" xfId="0" applyFont="1"/>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8"/>
  <sheetViews>
    <sheetView topLeftCell="G1" zoomScaleNormal="100" workbookViewId="0">
      <pane ySplit="1" topLeftCell="A13" activePane="bottomLeft" state="frozen"/>
      <selection pane="bottomLeft" activeCell="N14" sqref="N14"/>
    </sheetView>
  </sheetViews>
  <sheetFormatPr defaultColWidth="8.6328125" defaultRowHeight="14.5" x14ac:dyDescent="0.35"/>
  <cols>
    <col min="1" max="1" width="10" customWidth="1"/>
    <col min="2" max="2" width="45" customWidth="1"/>
    <col min="3" max="3" width="60" customWidth="1"/>
    <col min="4" max="8" width="13" customWidth="1"/>
    <col min="9" max="9" width="9" customWidth="1"/>
    <col min="10" max="10" width="14" customWidth="1"/>
    <col min="11" max="11" width="16" customWidth="1"/>
    <col min="12" max="12" width="11" customWidth="1"/>
    <col min="13" max="13" width="22" customWidth="1"/>
    <col min="14" max="14" width="45" customWidth="1"/>
    <col min="15" max="15" width="10" customWidth="1"/>
    <col min="16" max="16" width="40" customWidth="1"/>
    <col min="17" max="17" width="50" customWidth="1"/>
  </cols>
  <sheetData>
    <row r="1" spans="1:17" ht="28" customHeight="1" x14ac:dyDescent="0.35">
      <c r="A1" s="1" t="s">
        <v>0</v>
      </c>
      <c r="B1" s="1" t="s">
        <v>1</v>
      </c>
      <c r="C1" s="1" t="s">
        <v>2</v>
      </c>
      <c r="D1" s="1" t="s">
        <v>3</v>
      </c>
      <c r="E1" s="1" t="s">
        <v>4</v>
      </c>
      <c r="F1" s="1" t="s">
        <v>5</v>
      </c>
      <c r="G1" s="1" t="s">
        <v>6</v>
      </c>
      <c r="H1" s="1" t="s">
        <v>7</v>
      </c>
      <c r="I1" s="1" t="s">
        <v>44</v>
      </c>
      <c r="J1" s="1" t="s">
        <v>45</v>
      </c>
      <c r="K1" s="1" t="s">
        <v>46</v>
      </c>
      <c r="L1" s="1" t="s">
        <v>8</v>
      </c>
      <c r="M1" s="1" t="s">
        <v>47</v>
      </c>
      <c r="N1" s="1" t="s">
        <v>10</v>
      </c>
      <c r="O1" s="1" t="s">
        <v>48</v>
      </c>
      <c r="P1" s="1" t="s">
        <v>49</v>
      </c>
      <c r="Q1" s="1" t="s">
        <v>50</v>
      </c>
    </row>
    <row r="2" spans="1:17" ht="109.5" customHeight="1" x14ac:dyDescent="0.35">
      <c r="A2" s="2" t="s">
        <v>51</v>
      </c>
      <c r="B2" s="3" t="s">
        <v>52</v>
      </c>
      <c r="C2" s="3" t="s">
        <v>53</v>
      </c>
      <c r="D2" s="2" t="s">
        <v>17</v>
      </c>
      <c r="E2" s="2" t="s">
        <v>17</v>
      </c>
      <c r="F2" s="2" t="s">
        <v>17</v>
      </c>
      <c r="G2" s="2" t="s">
        <v>17</v>
      </c>
      <c r="H2" s="2" t="s">
        <v>17</v>
      </c>
      <c r="I2" s="2" t="s">
        <v>54</v>
      </c>
      <c r="J2" s="2" t="s">
        <v>55</v>
      </c>
      <c r="K2" s="2" t="s">
        <v>56</v>
      </c>
      <c r="L2" s="2" t="str">
        <f t="shared" ref="L2:L28" si="0">IF(A2="","",IF(COUNTIF(D2:H2,"FAIL")&gt;0,"FAIL",IF(COUNTIF(D2:H2,"PASS")&lt;5,"PENDING","PASS")))</f>
        <v>PASS</v>
      </c>
      <c r="M2" s="2"/>
      <c r="N2" s="2" t="s">
        <v>57</v>
      </c>
      <c r="O2" s="2"/>
      <c r="P2" s="3"/>
      <c r="Q2" s="3"/>
    </row>
    <row r="3" spans="1:17" ht="120" customHeight="1" x14ac:dyDescent="0.35">
      <c r="A3" s="2" t="s">
        <v>13</v>
      </c>
      <c r="B3" s="3" t="s">
        <v>14</v>
      </c>
      <c r="C3" s="3" t="s">
        <v>15</v>
      </c>
      <c r="D3" s="2" t="s">
        <v>16</v>
      </c>
      <c r="E3" s="2" t="s">
        <v>16</v>
      </c>
      <c r="F3" s="2" t="s">
        <v>16</v>
      </c>
      <c r="G3" s="2" t="s">
        <v>16</v>
      </c>
      <c r="H3" s="2" t="s">
        <v>17</v>
      </c>
      <c r="I3" s="2" t="s">
        <v>54</v>
      </c>
      <c r="J3" s="2" t="s">
        <v>55</v>
      </c>
      <c r="K3" s="2" t="s">
        <v>56</v>
      </c>
      <c r="L3" s="2" t="str">
        <f t="shared" si="0"/>
        <v>FAIL</v>
      </c>
      <c r="M3" s="2" t="s">
        <v>18</v>
      </c>
      <c r="N3" s="2" t="s">
        <v>58</v>
      </c>
      <c r="O3" s="2"/>
      <c r="P3" s="3"/>
      <c r="Q3" s="3"/>
    </row>
    <row r="4" spans="1:17" ht="150" customHeight="1" x14ac:dyDescent="0.35">
      <c r="A4" s="4" t="s">
        <v>59</v>
      </c>
      <c r="B4" s="5" t="s">
        <v>60</v>
      </c>
      <c r="C4" s="5" t="s">
        <v>61</v>
      </c>
      <c r="D4" s="6" t="s">
        <v>17</v>
      </c>
      <c r="E4" s="6" t="s">
        <v>17</v>
      </c>
      <c r="F4" s="6" t="s">
        <v>17</v>
      </c>
      <c r="G4" s="6" t="s">
        <v>17</v>
      </c>
      <c r="H4" s="6" t="s">
        <v>17</v>
      </c>
      <c r="I4" s="4" t="s">
        <v>54</v>
      </c>
      <c r="J4" s="4" t="s">
        <v>62</v>
      </c>
      <c r="K4" s="4" t="s">
        <v>63</v>
      </c>
      <c r="L4" s="4" t="str">
        <f t="shared" si="0"/>
        <v>PASS</v>
      </c>
      <c r="M4" s="6"/>
      <c r="N4" s="6" t="s">
        <v>64</v>
      </c>
      <c r="O4" s="7" t="s">
        <v>17</v>
      </c>
      <c r="P4" s="8" t="s">
        <v>65</v>
      </c>
      <c r="Q4" s="8" t="s">
        <v>61</v>
      </c>
    </row>
    <row r="5" spans="1:17" ht="150" customHeight="1" x14ac:dyDescent="0.35">
      <c r="A5" s="4" t="s">
        <v>66</v>
      </c>
      <c r="B5" s="5" t="s">
        <v>67</v>
      </c>
      <c r="C5" s="5" t="s">
        <v>68</v>
      </c>
      <c r="D5" s="6" t="s">
        <v>17</v>
      </c>
      <c r="E5" s="6" t="s">
        <v>17</v>
      </c>
      <c r="F5" s="6" t="s">
        <v>17</v>
      </c>
      <c r="G5" s="6" t="s">
        <v>17</v>
      </c>
      <c r="H5" s="6" t="s">
        <v>17</v>
      </c>
      <c r="I5" s="4" t="s">
        <v>54</v>
      </c>
      <c r="J5" s="4" t="s">
        <v>62</v>
      </c>
      <c r="K5" s="4" t="s">
        <v>63</v>
      </c>
      <c r="L5" s="4" t="str">
        <f t="shared" si="0"/>
        <v>PASS</v>
      </c>
      <c r="M5" s="6"/>
      <c r="N5" s="6" t="s">
        <v>69</v>
      </c>
      <c r="O5" s="7" t="s">
        <v>17</v>
      </c>
      <c r="P5" s="8" t="s">
        <v>70</v>
      </c>
      <c r="Q5" s="8" t="s">
        <v>68</v>
      </c>
    </row>
    <row r="6" spans="1:17" ht="150" customHeight="1" x14ac:dyDescent="0.35">
      <c r="A6" s="4" t="s">
        <v>71</v>
      </c>
      <c r="B6" s="5" t="s">
        <v>72</v>
      </c>
      <c r="C6" s="5" t="s">
        <v>73</v>
      </c>
      <c r="D6" s="6" t="s">
        <v>17</v>
      </c>
      <c r="E6" s="6" t="s">
        <v>17</v>
      </c>
      <c r="F6" s="6" t="s">
        <v>17</v>
      </c>
      <c r="G6" s="6" t="s">
        <v>17</v>
      </c>
      <c r="H6" s="6" t="s">
        <v>17</v>
      </c>
      <c r="I6" s="4" t="s">
        <v>54</v>
      </c>
      <c r="J6" s="4" t="s">
        <v>62</v>
      </c>
      <c r="K6" s="4" t="s">
        <v>63</v>
      </c>
      <c r="L6" s="4" t="str">
        <f t="shared" si="0"/>
        <v>PASS</v>
      </c>
      <c r="M6" s="6"/>
      <c r="N6" s="6" t="s">
        <v>74</v>
      </c>
      <c r="O6" s="7" t="s">
        <v>17</v>
      </c>
      <c r="P6" s="8" t="s">
        <v>75</v>
      </c>
      <c r="Q6" s="8" t="s">
        <v>73</v>
      </c>
    </row>
    <row r="7" spans="1:17" ht="150" customHeight="1" x14ac:dyDescent="0.35">
      <c r="A7" s="4" t="s">
        <v>21</v>
      </c>
      <c r="B7" s="5" t="s">
        <v>22</v>
      </c>
      <c r="C7" s="5" t="s">
        <v>23</v>
      </c>
      <c r="D7" s="6" t="s">
        <v>17</v>
      </c>
      <c r="E7" s="6" t="s">
        <v>17</v>
      </c>
      <c r="F7" s="6" t="s">
        <v>16</v>
      </c>
      <c r="G7" s="6" t="s">
        <v>17</v>
      </c>
      <c r="H7" s="6" t="s">
        <v>17</v>
      </c>
      <c r="I7" s="4" t="s">
        <v>76</v>
      </c>
      <c r="J7" s="4" t="s">
        <v>62</v>
      </c>
      <c r="K7" s="4" t="s">
        <v>63</v>
      </c>
      <c r="L7" s="4" t="str">
        <f t="shared" si="0"/>
        <v>FAIL</v>
      </c>
      <c r="M7" s="6" t="s">
        <v>24</v>
      </c>
      <c r="N7" s="6" t="s">
        <v>25</v>
      </c>
      <c r="O7" s="7" t="s">
        <v>16</v>
      </c>
      <c r="P7" s="8" t="s">
        <v>77</v>
      </c>
      <c r="Q7" s="8" t="s">
        <v>78</v>
      </c>
    </row>
    <row r="8" spans="1:17" ht="150" customHeight="1" x14ac:dyDescent="0.35">
      <c r="A8" s="4" t="s">
        <v>28</v>
      </c>
      <c r="B8" s="5" t="s">
        <v>29</v>
      </c>
      <c r="C8" s="5" t="s">
        <v>30</v>
      </c>
      <c r="D8" s="6" t="s">
        <v>17</v>
      </c>
      <c r="E8" s="6" t="s">
        <v>17</v>
      </c>
      <c r="F8" s="6" t="s">
        <v>17</v>
      </c>
      <c r="G8" s="6" t="s">
        <v>16</v>
      </c>
      <c r="H8" s="6" t="s">
        <v>17</v>
      </c>
      <c r="I8" s="4" t="s">
        <v>54</v>
      </c>
      <c r="J8" s="4" t="s">
        <v>62</v>
      </c>
      <c r="K8" s="4" t="s">
        <v>63</v>
      </c>
      <c r="L8" s="4" t="str">
        <f t="shared" si="0"/>
        <v>FAIL</v>
      </c>
      <c r="M8" s="6" t="s">
        <v>31</v>
      </c>
      <c r="N8" s="6" t="s">
        <v>32</v>
      </c>
      <c r="O8" s="7" t="s">
        <v>17</v>
      </c>
      <c r="P8" s="8" t="s">
        <v>79</v>
      </c>
      <c r="Q8" s="8" t="s">
        <v>30</v>
      </c>
    </row>
    <row r="9" spans="1:17" ht="150" customHeight="1" x14ac:dyDescent="0.35">
      <c r="A9" s="4" t="s">
        <v>80</v>
      </c>
      <c r="B9" s="5" t="s">
        <v>81</v>
      </c>
      <c r="C9" s="5" t="s">
        <v>82</v>
      </c>
      <c r="D9" s="6" t="s">
        <v>17</v>
      </c>
      <c r="E9" s="6" t="s">
        <v>17</v>
      </c>
      <c r="F9" s="6" t="s">
        <v>17</v>
      </c>
      <c r="G9" s="6" t="s">
        <v>17</v>
      </c>
      <c r="H9" s="6" t="s">
        <v>17</v>
      </c>
      <c r="I9" s="4" t="s">
        <v>54</v>
      </c>
      <c r="J9" s="4" t="s">
        <v>62</v>
      </c>
      <c r="K9" s="4" t="s">
        <v>63</v>
      </c>
      <c r="L9" s="4" t="str">
        <f t="shared" si="0"/>
        <v>PASS</v>
      </c>
      <c r="M9" s="6"/>
      <c r="N9" s="6" t="s">
        <v>38</v>
      </c>
      <c r="O9" s="7" t="s">
        <v>17</v>
      </c>
      <c r="P9" s="8" t="s">
        <v>83</v>
      </c>
      <c r="Q9" s="8" t="s">
        <v>82</v>
      </c>
    </row>
    <row r="10" spans="1:17" ht="150" customHeight="1" x14ac:dyDescent="0.35">
      <c r="A10" s="4" t="s">
        <v>35</v>
      </c>
      <c r="B10" s="5" t="s">
        <v>36</v>
      </c>
      <c r="C10" s="5" t="s">
        <v>37</v>
      </c>
      <c r="D10" s="6" t="s">
        <v>17</v>
      </c>
      <c r="E10" s="6" t="s">
        <v>17</v>
      </c>
      <c r="F10" s="6" t="s">
        <v>17</v>
      </c>
      <c r="G10" s="6" t="s">
        <v>16</v>
      </c>
      <c r="H10" s="6" t="s">
        <v>17</v>
      </c>
      <c r="I10" s="4" t="s">
        <v>54</v>
      </c>
      <c r="J10" s="4" t="s">
        <v>62</v>
      </c>
      <c r="K10" s="4" t="s">
        <v>63</v>
      </c>
      <c r="L10" s="4" t="str">
        <f t="shared" si="0"/>
        <v>FAIL</v>
      </c>
      <c r="M10" s="6" t="s">
        <v>31</v>
      </c>
      <c r="N10" s="6" t="s">
        <v>84</v>
      </c>
      <c r="O10" s="7" t="s">
        <v>17</v>
      </c>
      <c r="P10" s="8" t="s">
        <v>85</v>
      </c>
      <c r="Q10" s="8" t="s">
        <v>37</v>
      </c>
    </row>
    <row r="11" spans="1:17" ht="150" customHeight="1" x14ac:dyDescent="0.35">
      <c r="A11" s="4" t="s">
        <v>39</v>
      </c>
      <c r="B11" s="5" t="s">
        <v>40</v>
      </c>
      <c r="C11" s="5" t="s">
        <v>41</v>
      </c>
      <c r="D11" s="6" t="s">
        <v>17</v>
      </c>
      <c r="E11" s="6" t="s">
        <v>17</v>
      </c>
      <c r="F11" s="6" t="s">
        <v>17</v>
      </c>
      <c r="G11" s="6" t="s">
        <v>16</v>
      </c>
      <c r="H11" s="6" t="s">
        <v>17</v>
      </c>
      <c r="I11" s="4" t="s">
        <v>54</v>
      </c>
      <c r="J11" s="4" t="s">
        <v>62</v>
      </c>
      <c r="K11" s="4" t="s">
        <v>63</v>
      </c>
      <c r="L11" s="4" t="str">
        <f t="shared" si="0"/>
        <v>FAIL</v>
      </c>
      <c r="M11" s="6" t="s">
        <v>31</v>
      </c>
      <c r="N11" s="6" t="s">
        <v>42</v>
      </c>
      <c r="O11" s="7" t="s">
        <v>17</v>
      </c>
      <c r="P11" s="8" t="s">
        <v>86</v>
      </c>
      <c r="Q11" s="8" t="s">
        <v>41</v>
      </c>
    </row>
    <row r="12" spans="1:17" ht="150" customHeight="1" x14ac:dyDescent="0.35">
      <c r="A12" s="4" t="s">
        <v>87</v>
      </c>
      <c r="B12" s="5" t="s">
        <v>88</v>
      </c>
      <c r="C12" s="5" t="s">
        <v>89</v>
      </c>
      <c r="D12" s="6" t="s">
        <v>17</v>
      </c>
      <c r="E12" s="6" t="s">
        <v>17</v>
      </c>
      <c r="F12" s="6" t="s">
        <v>17</v>
      </c>
      <c r="G12" s="6" t="s">
        <v>17</v>
      </c>
      <c r="H12" s="6" t="s">
        <v>17</v>
      </c>
      <c r="I12" s="4" t="s">
        <v>76</v>
      </c>
      <c r="J12" s="4" t="s">
        <v>62</v>
      </c>
      <c r="K12" s="4" t="s">
        <v>63</v>
      </c>
      <c r="L12" s="4" t="str">
        <f t="shared" si="0"/>
        <v>PASS</v>
      </c>
      <c r="M12" s="6"/>
      <c r="N12" s="6" t="s">
        <v>90</v>
      </c>
      <c r="O12" s="7" t="s">
        <v>16</v>
      </c>
      <c r="P12" s="8" t="s">
        <v>91</v>
      </c>
      <c r="Q12" s="8" t="s">
        <v>92</v>
      </c>
    </row>
    <row r="13" spans="1:17" ht="150" customHeight="1" x14ac:dyDescent="0.35">
      <c r="A13" s="4" t="s">
        <v>93</v>
      </c>
      <c r="B13" s="5" t="s">
        <v>94</v>
      </c>
      <c r="C13" s="5" t="s">
        <v>95</v>
      </c>
      <c r="D13" s="6" t="s">
        <v>17</v>
      </c>
      <c r="E13" s="6" t="s">
        <v>17</v>
      </c>
      <c r="F13" s="6" t="s">
        <v>17</v>
      </c>
      <c r="G13" s="6" t="s">
        <v>17</v>
      </c>
      <c r="H13" s="6" t="s">
        <v>17</v>
      </c>
      <c r="I13" s="4" t="s">
        <v>76</v>
      </c>
      <c r="J13" s="4" t="s">
        <v>62</v>
      </c>
      <c r="K13" s="4" t="s">
        <v>63</v>
      </c>
      <c r="L13" s="4" t="str">
        <f t="shared" si="0"/>
        <v>PASS</v>
      </c>
      <c r="M13" s="6"/>
      <c r="N13" s="6" t="s">
        <v>96</v>
      </c>
      <c r="O13" s="7" t="s">
        <v>16</v>
      </c>
      <c r="P13" s="8" t="s">
        <v>97</v>
      </c>
      <c r="Q13" s="8" t="s">
        <v>98</v>
      </c>
    </row>
    <row r="14" spans="1:17" ht="150" customHeight="1" x14ac:dyDescent="0.35">
      <c r="A14" s="4" t="s">
        <v>99</v>
      </c>
      <c r="B14" s="5" t="s">
        <v>22</v>
      </c>
      <c r="C14" s="5" t="s">
        <v>100</v>
      </c>
      <c r="D14" s="6" t="s">
        <v>16</v>
      </c>
      <c r="E14" s="6" t="s">
        <v>17</v>
      </c>
      <c r="F14" s="6" t="s">
        <v>16</v>
      </c>
      <c r="G14" s="6" t="s">
        <v>17</v>
      </c>
      <c r="H14" s="6" t="s">
        <v>17</v>
      </c>
      <c r="I14" s="4" t="s">
        <v>76</v>
      </c>
      <c r="J14" s="4" t="s">
        <v>101</v>
      </c>
      <c r="K14" s="4" t="s">
        <v>102</v>
      </c>
      <c r="L14" s="4" t="str">
        <f t="shared" si="0"/>
        <v>FAIL</v>
      </c>
      <c r="M14" s="6" t="s">
        <v>126</v>
      </c>
      <c r="N14" s="6" t="s">
        <v>168</v>
      </c>
      <c r="O14" s="7" t="s">
        <v>16</v>
      </c>
      <c r="P14" s="8" t="s">
        <v>103</v>
      </c>
      <c r="Q14" s="8" t="s">
        <v>104</v>
      </c>
    </row>
    <row r="15" spans="1:17" ht="150" customHeight="1" x14ac:dyDescent="0.35">
      <c r="A15" s="4" t="s">
        <v>105</v>
      </c>
      <c r="B15" s="5" t="s">
        <v>29</v>
      </c>
      <c r="C15" s="5" t="s">
        <v>106</v>
      </c>
      <c r="D15" s="6" t="s">
        <v>17</v>
      </c>
      <c r="E15" s="6" t="s">
        <v>17</v>
      </c>
      <c r="F15" s="6" t="s">
        <v>17</v>
      </c>
      <c r="G15" s="6" t="s">
        <v>17</v>
      </c>
      <c r="H15" s="6" t="s">
        <v>17</v>
      </c>
      <c r="I15" s="4" t="s">
        <v>54</v>
      </c>
      <c r="J15" s="4" t="s">
        <v>101</v>
      </c>
      <c r="K15" s="4" t="s">
        <v>102</v>
      </c>
      <c r="L15" s="4" t="str">
        <f t="shared" si="0"/>
        <v>PASS</v>
      </c>
      <c r="M15" s="6"/>
      <c r="N15" s="6" t="s">
        <v>169</v>
      </c>
      <c r="O15" s="7" t="s">
        <v>17</v>
      </c>
      <c r="P15" s="8" t="s">
        <v>107</v>
      </c>
      <c r="Q15" s="8" t="s">
        <v>106</v>
      </c>
    </row>
    <row r="16" spans="1:17" ht="150" customHeight="1" x14ac:dyDescent="0.35">
      <c r="A16" s="4" t="s">
        <v>108</v>
      </c>
      <c r="B16" s="5" t="s">
        <v>36</v>
      </c>
      <c r="C16" s="5" t="s">
        <v>109</v>
      </c>
      <c r="D16" s="6" t="s">
        <v>17</v>
      </c>
      <c r="E16" s="6" t="s">
        <v>17</v>
      </c>
      <c r="F16" s="6" t="s">
        <v>17</v>
      </c>
      <c r="G16" s="6" t="s">
        <v>17</v>
      </c>
      <c r="H16" s="6" t="s">
        <v>17</v>
      </c>
      <c r="I16" s="4" t="s">
        <v>54</v>
      </c>
      <c r="J16" s="4" t="s">
        <v>101</v>
      </c>
      <c r="K16" s="4" t="s">
        <v>102</v>
      </c>
      <c r="L16" s="4" t="str">
        <f t="shared" si="0"/>
        <v>PASS</v>
      </c>
      <c r="M16" s="6"/>
      <c r="N16" s="6" t="s">
        <v>170</v>
      </c>
      <c r="O16" s="7" t="s">
        <v>17</v>
      </c>
      <c r="P16" s="8" t="s">
        <v>110</v>
      </c>
      <c r="Q16" s="8" t="s">
        <v>109</v>
      </c>
    </row>
    <row r="17" spans="1:17" ht="150" customHeight="1" x14ac:dyDescent="0.35">
      <c r="A17" s="4" t="s">
        <v>111</v>
      </c>
      <c r="B17" s="5" t="s">
        <v>40</v>
      </c>
      <c r="C17" s="5" t="s">
        <v>112</v>
      </c>
      <c r="D17" s="6" t="s">
        <v>17</v>
      </c>
      <c r="E17" s="6" t="s">
        <v>17</v>
      </c>
      <c r="F17" s="6" t="s">
        <v>17</v>
      </c>
      <c r="G17" s="6" t="s">
        <v>17</v>
      </c>
      <c r="H17" s="6" t="s">
        <v>17</v>
      </c>
      <c r="I17" s="4" t="s">
        <v>54</v>
      </c>
      <c r="J17" s="4" t="s">
        <v>101</v>
      </c>
      <c r="K17" s="4" t="s">
        <v>102</v>
      </c>
      <c r="L17" s="4" t="str">
        <f t="shared" si="0"/>
        <v>PASS</v>
      </c>
      <c r="M17" s="6"/>
      <c r="N17" s="6" t="s">
        <v>171</v>
      </c>
      <c r="O17" s="7" t="s">
        <v>17</v>
      </c>
      <c r="P17" s="8" t="s">
        <v>113</v>
      </c>
      <c r="Q17" s="8" t="s">
        <v>112</v>
      </c>
    </row>
    <row r="18" spans="1:17" ht="150" customHeight="1" x14ac:dyDescent="0.35">
      <c r="A18" s="4" t="s">
        <v>114</v>
      </c>
      <c r="B18" s="5" t="s">
        <v>60</v>
      </c>
      <c r="C18" s="5" t="s">
        <v>115</v>
      </c>
      <c r="D18" s="6" t="s">
        <v>17</v>
      </c>
      <c r="E18" s="6" t="s">
        <v>17</v>
      </c>
      <c r="F18" s="6" t="s">
        <v>17</v>
      </c>
      <c r="G18" s="6" t="s">
        <v>17</v>
      </c>
      <c r="H18" s="6" t="s">
        <v>17</v>
      </c>
      <c r="I18" s="4" t="s">
        <v>76</v>
      </c>
      <c r="J18" s="4" t="s">
        <v>101</v>
      </c>
      <c r="K18" s="4" t="s">
        <v>102</v>
      </c>
      <c r="L18" s="4" t="str">
        <f t="shared" si="0"/>
        <v>PASS</v>
      </c>
      <c r="M18" s="6"/>
      <c r="N18" s="6" t="s">
        <v>172</v>
      </c>
      <c r="O18" s="7" t="s">
        <v>16</v>
      </c>
      <c r="P18" s="8" t="s">
        <v>116</v>
      </c>
      <c r="Q18" s="8" t="s">
        <v>117</v>
      </c>
    </row>
    <row r="19" spans="1:17" ht="150" customHeight="1" x14ac:dyDescent="0.35">
      <c r="A19" s="4" t="s">
        <v>118</v>
      </c>
      <c r="B19" s="5" t="s">
        <v>67</v>
      </c>
      <c r="C19" s="5" t="s">
        <v>119</v>
      </c>
      <c r="D19" s="6" t="s">
        <v>17</v>
      </c>
      <c r="E19" s="6" t="s">
        <v>17</v>
      </c>
      <c r="F19" s="6" t="s">
        <v>17</v>
      </c>
      <c r="G19" s="6" t="s">
        <v>17</v>
      </c>
      <c r="H19" s="6" t="s">
        <v>17</v>
      </c>
      <c r="I19" s="4" t="s">
        <v>54</v>
      </c>
      <c r="J19" s="4" t="s">
        <v>101</v>
      </c>
      <c r="K19" s="4" t="s">
        <v>102</v>
      </c>
      <c r="L19" s="4" t="str">
        <f t="shared" si="0"/>
        <v>PASS</v>
      </c>
      <c r="M19" s="6"/>
      <c r="N19" s="6" t="s">
        <v>173</v>
      </c>
      <c r="O19" s="7" t="s">
        <v>17</v>
      </c>
      <c r="P19" s="8" t="s">
        <v>120</v>
      </c>
      <c r="Q19" s="8" t="s">
        <v>119</v>
      </c>
    </row>
    <row r="20" spans="1:17" x14ac:dyDescent="0.35">
      <c r="A20" s="4"/>
      <c r="B20" s="5"/>
      <c r="C20" s="5"/>
      <c r="D20" s="6"/>
      <c r="E20" s="6"/>
      <c r="F20" s="6"/>
      <c r="G20" s="6"/>
      <c r="H20" s="6"/>
      <c r="I20" s="4"/>
      <c r="J20" s="4"/>
      <c r="K20" s="4"/>
      <c r="L20" s="4" t="str">
        <f t="shared" si="0"/>
        <v/>
      </c>
      <c r="M20" s="6"/>
      <c r="N20" s="6"/>
      <c r="O20" s="7"/>
      <c r="P20" s="8"/>
      <c r="Q20" s="8"/>
    </row>
    <row r="21" spans="1:17" x14ac:dyDescent="0.35">
      <c r="A21" s="4"/>
      <c r="B21" s="5"/>
      <c r="C21" s="5"/>
      <c r="D21" s="6"/>
      <c r="E21" s="6"/>
      <c r="F21" s="6"/>
      <c r="G21" s="6"/>
      <c r="H21" s="6"/>
      <c r="I21" s="4"/>
      <c r="J21" s="4"/>
      <c r="K21" s="4"/>
      <c r="L21" s="4" t="str">
        <f t="shared" si="0"/>
        <v/>
      </c>
      <c r="M21" s="6"/>
      <c r="N21" s="6"/>
      <c r="O21" s="7"/>
      <c r="P21" s="8"/>
      <c r="Q21" s="8"/>
    </row>
    <row r="22" spans="1:17" x14ac:dyDescent="0.35">
      <c r="A22" s="4"/>
      <c r="B22" s="5"/>
      <c r="C22" s="5"/>
      <c r="D22" s="6"/>
      <c r="E22" s="6"/>
      <c r="F22" s="6"/>
      <c r="G22" s="6"/>
      <c r="H22" s="6"/>
      <c r="I22" s="4"/>
      <c r="J22" s="4"/>
      <c r="K22" s="4"/>
      <c r="L22" s="4" t="str">
        <f t="shared" si="0"/>
        <v/>
      </c>
      <c r="M22" s="6"/>
      <c r="N22" s="6"/>
      <c r="O22" s="7"/>
      <c r="P22" s="8"/>
      <c r="Q22" s="8"/>
    </row>
    <row r="23" spans="1:17" x14ac:dyDescent="0.35">
      <c r="A23" s="4"/>
      <c r="B23" s="5"/>
      <c r="C23" s="5"/>
      <c r="D23" s="6"/>
      <c r="E23" s="6"/>
      <c r="F23" s="6"/>
      <c r="G23" s="6"/>
      <c r="H23" s="6"/>
      <c r="I23" s="4"/>
      <c r="J23" s="4"/>
      <c r="K23" s="4"/>
      <c r="L23" s="4" t="str">
        <f t="shared" si="0"/>
        <v/>
      </c>
      <c r="M23" s="6"/>
      <c r="N23" s="6"/>
      <c r="O23" s="7"/>
      <c r="P23" s="8"/>
      <c r="Q23" s="8"/>
    </row>
    <row r="24" spans="1:17" x14ac:dyDescent="0.35">
      <c r="A24" s="4"/>
      <c r="B24" s="5"/>
      <c r="C24" s="5"/>
      <c r="D24" s="6"/>
      <c r="E24" s="6"/>
      <c r="F24" s="6"/>
      <c r="G24" s="6"/>
      <c r="H24" s="6"/>
      <c r="I24" s="4"/>
      <c r="J24" s="4"/>
      <c r="K24" s="4"/>
      <c r="L24" s="4" t="str">
        <f t="shared" si="0"/>
        <v/>
      </c>
      <c r="M24" s="6"/>
      <c r="N24" s="6"/>
      <c r="O24" s="7"/>
      <c r="P24" s="8"/>
      <c r="Q24" s="8"/>
    </row>
    <row r="25" spans="1:17" x14ac:dyDescent="0.35">
      <c r="A25" s="4"/>
      <c r="B25" s="5"/>
      <c r="C25" s="5"/>
      <c r="D25" s="6"/>
      <c r="E25" s="6"/>
      <c r="F25" s="6"/>
      <c r="G25" s="6"/>
      <c r="H25" s="6"/>
      <c r="I25" s="4"/>
      <c r="J25" s="4"/>
      <c r="K25" s="4"/>
      <c r="L25" s="4" t="str">
        <f t="shared" si="0"/>
        <v/>
      </c>
      <c r="M25" s="6"/>
      <c r="N25" s="6"/>
      <c r="O25" s="7"/>
      <c r="P25" s="8"/>
      <c r="Q25" s="8"/>
    </row>
    <row r="26" spans="1:17" x14ac:dyDescent="0.35">
      <c r="A26" s="4"/>
      <c r="B26" s="5"/>
      <c r="C26" s="5"/>
      <c r="D26" s="6"/>
      <c r="E26" s="6"/>
      <c r="F26" s="6"/>
      <c r="G26" s="6"/>
      <c r="H26" s="6"/>
      <c r="I26" s="4"/>
      <c r="J26" s="4"/>
      <c r="K26" s="4"/>
      <c r="L26" s="4" t="str">
        <f t="shared" si="0"/>
        <v/>
      </c>
      <c r="M26" s="6"/>
      <c r="N26" s="6"/>
      <c r="O26" s="7"/>
      <c r="P26" s="8"/>
      <c r="Q26" s="8"/>
    </row>
    <row r="27" spans="1:17" x14ac:dyDescent="0.35">
      <c r="A27" s="4"/>
      <c r="B27" s="5"/>
      <c r="C27" s="5"/>
      <c r="D27" s="6"/>
      <c r="E27" s="6"/>
      <c r="F27" s="6"/>
      <c r="G27" s="6"/>
      <c r="H27" s="6"/>
      <c r="I27" s="4"/>
      <c r="J27" s="4"/>
      <c r="K27" s="4"/>
      <c r="L27" s="4" t="str">
        <f t="shared" si="0"/>
        <v/>
      </c>
      <c r="M27" s="6"/>
      <c r="N27" s="6"/>
      <c r="O27" s="7"/>
      <c r="P27" s="8"/>
      <c r="Q27" s="8"/>
    </row>
    <row r="28" spans="1:17" x14ac:dyDescent="0.35">
      <c r="A28" s="4"/>
      <c r="B28" s="5"/>
      <c r="C28" s="5"/>
      <c r="D28" s="6"/>
      <c r="E28" s="6"/>
      <c r="F28" s="6"/>
      <c r="G28" s="6"/>
      <c r="H28" s="6"/>
      <c r="I28" s="4"/>
      <c r="J28" s="4"/>
      <c r="K28" s="4"/>
      <c r="L28" s="4" t="str">
        <f t="shared" si="0"/>
        <v/>
      </c>
      <c r="M28" s="6"/>
      <c r="N28" s="6"/>
      <c r="O28" s="7"/>
      <c r="P28" s="8"/>
      <c r="Q28" s="8"/>
    </row>
  </sheetData>
  <autoFilter ref="A1:Q28" xr:uid="{00000000-0009-0000-0000-000000000000}"/>
  <dataValidations count="1">
    <dataValidation type="list" allowBlank="1" sqref="D2:H28" xr:uid="{00000000-0002-0000-0000-000000000000}">
      <formula1>"PASS,FAIL"</formula1>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xr:uid="{00000000-0002-0000-0000-000001000000}">
          <x14:formula1>
            <xm:f>'Failure Analysis'!$A$2:$A$9</xm:f>
          </x14:formula1>
          <xm:sqref>M2:M28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Normal="100" workbookViewId="0">
      <pane ySplit="1" topLeftCell="A2" activePane="bottomLeft" state="frozen"/>
      <selection pane="bottomLeft" activeCell="D6" sqref="D6"/>
    </sheetView>
  </sheetViews>
  <sheetFormatPr defaultColWidth="8.6328125" defaultRowHeight="14.5" x14ac:dyDescent="0.35"/>
  <cols>
    <col min="1" max="1" width="28" customWidth="1"/>
    <col min="2" max="3" width="60" customWidth="1"/>
    <col min="4" max="5" width="16" customWidth="1"/>
    <col min="6" max="6" width="18" customWidth="1"/>
  </cols>
  <sheetData>
    <row r="1" spans="1:6" ht="28" customHeight="1" x14ac:dyDescent="0.35">
      <c r="A1" s="1" t="s">
        <v>9</v>
      </c>
      <c r="B1" s="1" t="s">
        <v>121</v>
      </c>
      <c r="C1" s="1" t="s">
        <v>122</v>
      </c>
      <c r="D1" s="1" t="s">
        <v>123</v>
      </c>
      <c r="E1" s="1" t="s">
        <v>124</v>
      </c>
      <c r="F1" s="1" t="s">
        <v>125</v>
      </c>
    </row>
    <row r="2" spans="1:6" ht="28" customHeight="1" x14ac:dyDescent="0.35">
      <c r="A2" s="9" t="s">
        <v>126</v>
      </c>
      <c r="B2" s="9" t="s">
        <v>127</v>
      </c>
      <c r="C2" s="9" t="s">
        <v>128</v>
      </c>
      <c r="D2" s="9">
        <f>COUNTIFS('Evaluation Log'!$M:$M,A2,'Evaluation Log'!$A:$A,"TRV-??")</f>
        <v>0</v>
      </c>
      <c r="E2" s="9">
        <f>COUNTIFS('Evaluation Log'!$M:$M,A2,'Evaluation Log'!$A:$A,"EX*")</f>
        <v>0</v>
      </c>
      <c r="F2" s="9">
        <f>COUNTIFS('Evaluation Log'!$M:$M,A2,'Evaluation Log'!$A:$A,"*-v2")</f>
        <v>1</v>
      </c>
    </row>
    <row r="3" spans="1:6" ht="28" customHeight="1" x14ac:dyDescent="0.35">
      <c r="A3" s="9" t="s">
        <v>18</v>
      </c>
      <c r="B3" s="9" t="s">
        <v>129</v>
      </c>
      <c r="C3" s="9" t="s">
        <v>130</v>
      </c>
      <c r="D3" s="9">
        <f>COUNTIFS('Evaluation Log'!$M:$M,A3,'Evaluation Log'!$A:$A,"TRV-??")</f>
        <v>0</v>
      </c>
      <c r="E3" s="9">
        <f>COUNTIFS('Evaluation Log'!$M:$M,A3,'Evaluation Log'!$A:$A,"EX*")</f>
        <v>1</v>
      </c>
      <c r="F3" s="9">
        <f>COUNTIFS('Evaluation Log'!$M:$M,A3,'Evaluation Log'!$A:$A,"*-v2")</f>
        <v>0</v>
      </c>
    </row>
    <row r="4" spans="1:6" ht="28" customHeight="1" x14ac:dyDescent="0.35">
      <c r="A4" s="9" t="s">
        <v>31</v>
      </c>
      <c r="B4" s="9" t="s">
        <v>131</v>
      </c>
      <c r="C4" s="9" t="s">
        <v>132</v>
      </c>
      <c r="D4" s="9">
        <f>COUNTIFS('Evaluation Log'!$M:$M,A4,'Evaluation Log'!$A:$A,"TRV-??")</f>
        <v>3</v>
      </c>
      <c r="E4" s="9">
        <f>COUNTIFS('Evaluation Log'!$M:$M,A4,'Evaluation Log'!$A:$A,"EX*")</f>
        <v>0</v>
      </c>
      <c r="F4" s="9">
        <f>COUNTIFS('Evaluation Log'!$M:$M,A4,'Evaluation Log'!$A:$A,"*-v2")</f>
        <v>0</v>
      </c>
    </row>
    <row r="5" spans="1:6" ht="28" customHeight="1" x14ac:dyDescent="0.35">
      <c r="A5" s="9" t="s">
        <v>133</v>
      </c>
      <c r="B5" s="9" t="s">
        <v>134</v>
      </c>
      <c r="C5" s="9" t="s">
        <v>135</v>
      </c>
      <c r="D5" s="9">
        <f>COUNTIFS('Evaluation Log'!$M:$M,A5,'Evaluation Log'!$A:$A,"TRV-??")</f>
        <v>0</v>
      </c>
      <c r="E5" s="9">
        <f>COUNTIFS('Evaluation Log'!$M:$M,A5,'Evaluation Log'!$A:$A,"EX*")</f>
        <v>0</v>
      </c>
      <c r="F5" s="9">
        <f>COUNTIFS('Evaluation Log'!$M:$M,A5,'Evaluation Log'!$A:$A,"*-v2")</f>
        <v>0</v>
      </c>
    </row>
    <row r="6" spans="1:6" ht="28" customHeight="1" x14ac:dyDescent="0.35">
      <c r="A6" s="9" t="s">
        <v>24</v>
      </c>
      <c r="B6" s="9" t="s">
        <v>136</v>
      </c>
      <c r="C6" s="9" t="s">
        <v>137</v>
      </c>
      <c r="D6" s="9">
        <f>COUNTIFS('Evaluation Log'!$M:$M,A6,'Evaluation Log'!$A:$A,"TRV-??")</f>
        <v>1</v>
      </c>
      <c r="E6" s="9">
        <f>COUNTIFS('Evaluation Log'!$M:$M,A6,'Evaluation Log'!$A:$A,"EX*")</f>
        <v>0</v>
      </c>
      <c r="F6" s="9">
        <f>COUNTIFS('Evaluation Log'!$M:$M,A6,'Evaluation Log'!$A:$A,"*-v2")</f>
        <v>0</v>
      </c>
    </row>
    <row r="7" spans="1:6" ht="28" customHeight="1" x14ac:dyDescent="0.35">
      <c r="A7" s="10"/>
      <c r="B7" s="10" t="s">
        <v>138</v>
      </c>
      <c r="C7" s="10"/>
      <c r="D7" s="9" t="str">
        <f>IF(A7="","",COUNTIFS('Evaluation Log'!$M:$M,A7,'Evaluation Log'!$A:$A,"TRV-??"))</f>
        <v/>
      </c>
      <c r="E7" s="9" t="str">
        <f>IF(A7="","",COUNTIFS('Evaluation Log'!$M:$M,A7,'Evaluation Log'!$A:$A,"EX*"))</f>
        <v/>
      </c>
      <c r="F7" s="9" t="str">
        <f>IF(A7="","",COUNTIFS('Evaluation Log'!$M:$M,A7,'Evaluation Log'!$A:$A,"*-v2"))</f>
        <v/>
      </c>
    </row>
    <row r="8" spans="1:6" ht="28" customHeight="1" x14ac:dyDescent="0.35">
      <c r="A8" s="10"/>
      <c r="B8" s="10" t="s">
        <v>138</v>
      </c>
      <c r="C8" s="10"/>
      <c r="D8" s="9" t="str">
        <f>IF(A8="","",COUNTIFS('Evaluation Log'!$M:$M,A8,'Evaluation Log'!$A:$A,"TRV-??"))</f>
        <v/>
      </c>
      <c r="E8" s="9" t="str">
        <f>IF(A8="","",COUNTIFS('Evaluation Log'!$M:$M,A8,'Evaluation Log'!$A:$A,"EX*"))</f>
        <v/>
      </c>
      <c r="F8" s="9" t="str">
        <f>IF(A8="","",COUNTIFS('Evaluation Log'!$M:$M,A8,'Evaluation Log'!$A:$A,"*-v2"))</f>
        <v/>
      </c>
    </row>
    <row r="9" spans="1:6" ht="28" customHeight="1" x14ac:dyDescent="0.35">
      <c r="A9" s="10"/>
      <c r="B9" s="10" t="s">
        <v>138</v>
      </c>
      <c r="C9" s="10"/>
      <c r="D9" s="9" t="str">
        <f>IF(A9="","",COUNTIFS('Evaluation Log'!$M:$M,A9,'Evaluation Log'!$A:$A,"TRV-??"))</f>
        <v/>
      </c>
      <c r="E9" s="9" t="str">
        <f>IF(A9="","",COUNTIFS('Evaluation Log'!$M:$M,A9,'Evaluation Log'!$A:$A,"EX*"))</f>
        <v/>
      </c>
      <c r="F9" s="9" t="str">
        <f>IF(A9="","",COUNTIFS('Evaluation Log'!$M:$M,A9,'Evaluation Log'!$A:$A,"*-v2"))</f>
        <v/>
      </c>
    </row>
    <row r="10" spans="1:6" x14ac:dyDescent="0.35">
      <c r="A10" s="11" t="s">
        <v>139</v>
      </c>
      <c r="B10" s="9"/>
      <c r="C10" s="9"/>
      <c r="D10" s="9">
        <f>SUM(D2:D9)</f>
        <v>4</v>
      </c>
      <c r="E10" s="9">
        <f>SUM(E2:E9)</f>
        <v>1</v>
      </c>
      <c r="F10" s="9">
        <f>SUM(F2:F9)</f>
        <v>1</v>
      </c>
    </row>
    <row r="11" spans="1:6" x14ac:dyDescent="0.35">
      <c r="A11" s="11" t="s">
        <v>140</v>
      </c>
      <c r="B11" s="9"/>
      <c r="C11" s="9"/>
      <c r="D11" s="9">
        <f>COUNTIFS('Evaluation Log'!$L:$L,"FAIL",'Evaluation Log'!$A:$A,"TRV-??")</f>
        <v>4</v>
      </c>
      <c r="E11" s="9"/>
      <c r="F11" s="9">
        <f>COUNTIFS('Evaluation Log'!$L:$L,"FAIL",'Evaluation Log'!$A:$A,"*-v2")</f>
        <v>1</v>
      </c>
    </row>
    <row r="12" spans="1:6" x14ac:dyDescent="0.35">
      <c r="A12" s="11" t="s">
        <v>141</v>
      </c>
      <c r="B12" s="9"/>
      <c r="C12" s="9"/>
      <c r="D12" s="9">
        <f>COUNTIFS('Evaluation Log'!$L:$L,"PASS",'Evaluation Log'!$A:$A,"TRV-??")</f>
        <v>6</v>
      </c>
      <c r="E12" s="9"/>
      <c r="F12" s="9">
        <f>COUNTIFS('Evaluation Log'!$L:$L,"PASS",'Evaluation Log'!$A:$A,"*-v2")</f>
        <v>5</v>
      </c>
    </row>
    <row r="13" spans="1:6" x14ac:dyDescent="0.35">
      <c r="A13" s="12" t="s">
        <v>142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4"/>
  <sheetViews>
    <sheetView tabSelected="1" zoomScaleNormal="100" workbookViewId="0">
      <pane xSplit="3" ySplit="1" topLeftCell="L6" activePane="bottomRight" state="frozen"/>
      <selection pane="topRight" activeCell="D1" sqref="D1"/>
      <selection pane="bottomLeft" activeCell="A2" sqref="A2"/>
      <selection pane="bottomRight" activeCell="M7" sqref="M7"/>
    </sheetView>
  </sheetViews>
  <sheetFormatPr defaultColWidth="8.6328125" defaultRowHeight="14.5" x14ac:dyDescent="0.35"/>
  <cols>
    <col min="1" max="1" width="10" customWidth="1"/>
    <col min="2" max="2" width="40" customWidth="1"/>
    <col min="3" max="3" width="50" customWidth="1"/>
    <col min="4" max="8" width="12" customWidth="1"/>
    <col min="9" max="9" width="11" customWidth="1"/>
    <col min="10" max="10" width="22" customWidth="1"/>
    <col min="11" max="11" width="45" customWidth="1"/>
    <col min="12" max="13" width="35" customWidth="1"/>
  </cols>
  <sheetData>
    <row r="1" spans="1:13" ht="42" customHeigh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87.5" customHeight="1" x14ac:dyDescent="0.35">
      <c r="A2" s="2" t="s">
        <v>13</v>
      </c>
      <c r="B2" s="2" t="s">
        <v>14</v>
      </c>
      <c r="C2" s="2" t="s">
        <v>15</v>
      </c>
      <c r="D2" s="2" t="s">
        <v>16</v>
      </c>
      <c r="E2" s="2" t="s">
        <v>16</v>
      </c>
      <c r="F2" s="2" t="s">
        <v>16</v>
      </c>
      <c r="G2" s="2" t="s">
        <v>16</v>
      </c>
      <c r="H2" s="2" t="s">
        <v>17</v>
      </c>
      <c r="I2" s="2" t="s">
        <v>16</v>
      </c>
      <c r="J2" s="2" t="s">
        <v>18</v>
      </c>
      <c r="K2" s="2"/>
      <c r="L2" s="2" t="s">
        <v>19</v>
      </c>
      <c r="M2" s="2" t="s">
        <v>20</v>
      </c>
    </row>
    <row r="3" spans="1:13" ht="103" customHeight="1" x14ac:dyDescent="0.35">
      <c r="A3" s="4" t="s">
        <v>21</v>
      </c>
      <c r="B3" s="5" t="s">
        <v>22</v>
      </c>
      <c r="C3" s="5" t="s">
        <v>23</v>
      </c>
      <c r="D3" s="4" t="s">
        <v>17</v>
      </c>
      <c r="E3" s="4" t="s">
        <v>17</v>
      </c>
      <c r="F3" s="4" t="s">
        <v>16</v>
      </c>
      <c r="G3" s="4" t="s">
        <v>17</v>
      </c>
      <c r="H3" s="4" t="s">
        <v>17</v>
      </c>
      <c r="I3" s="4" t="s">
        <v>16</v>
      </c>
      <c r="J3" s="4" t="s">
        <v>24</v>
      </c>
      <c r="K3" s="4" t="s">
        <v>25</v>
      </c>
      <c r="L3" s="4" t="s">
        <v>26</v>
      </c>
      <c r="M3" s="4" t="s">
        <v>27</v>
      </c>
    </row>
    <row r="4" spans="1:13" ht="88" customHeight="1" x14ac:dyDescent="0.35">
      <c r="A4" s="4" t="s">
        <v>28</v>
      </c>
      <c r="B4" s="5" t="s">
        <v>29</v>
      </c>
      <c r="C4" s="5" t="s">
        <v>30</v>
      </c>
      <c r="D4" s="6" t="s">
        <v>17</v>
      </c>
      <c r="E4" s="6" t="s">
        <v>17</v>
      </c>
      <c r="F4" s="6" t="s">
        <v>17</v>
      </c>
      <c r="G4" s="6" t="s">
        <v>16</v>
      </c>
      <c r="H4" s="6" t="s">
        <v>17</v>
      </c>
      <c r="I4" s="4" t="s">
        <v>16</v>
      </c>
      <c r="J4" s="4" t="s">
        <v>31</v>
      </c>
      <c r="K4" s="4" t="s">
        <v>32</v>
      </c>
      <c r="L4" s="4" t="s">
        <v>33</v>
      </c>
      <c r="M4" s="4" t="s">
        <v>34</v>
      </c>
    </row>
    <row r="5" spans="1:13" ht="86" customHeight="1" x14ac:dyDescent="0.35">
      <c r="A5" s="4" t="s">
        <v>35</v>
      </c>
      <c r="B5" s="5" t="s">
        <v>36</v>
      </c>
      <c r="C5" s="5" t="s">
        <v>37</v>
      </c>
      <c r="D5" s="6" t="s">
        <v>17</v>
      </c>
      <c r="E5" s="6" t="s">
        <v>17</v>
      </c>
      <c r="F5" s="6" t="s">
        <v>17</v>
      </c>
      <c r="G5" s="6" t="s">
        <v>16</v>
      </c>
      <c r="H5" s="6" t="s">
        <v>17</v>
      </c>
      <c r="I5" s="4" t="s">
        <v>16</v>
      </c>
      <c r="J5" s="4" t="s">
        <v>31</v>
      </c>
      <c r="K5" s="4" t="s">
        <v>38</v>
      </c>
      <c r="L5" s="4" t="s">
        <v>33</v>
      </c>
      <c r="M5" s="4" t="s">
        <v>34</v>
      </c>
    </row>
    <row r="6" spans="1:13" ht="159.5" customHeight="1" x14ac:dyDescent="0.35">
      <c r="A6" s="4" t="s">
        <v>39</v>
      </c>
      <c r="B6" s="5" t="s">
        <v>40</v>
      </c>
      <c r="C6" s="5" t="s">
        <v>41</v>
      </c>
      <c r="D6" s="6" t="s">
        <v>17</v>
      </c>
      <c r="E6" s="6" t="s">
        <v>17</v>
      </c>
      <c r="F6" s="6" t="s">
        <v>17</v>
      </c>
      <c r="G6" s="6" t="s">
        <v>16</v>
      </c>
      <c r="H6" s="6" t="s">
        <v>17</v>
      </c>
      <c r="I6" s="4" t="s">
        <v>16</v>
      </c>
      <c r="J6" s="4" t="s">
        <v>31</v>
      </c>
      <c r="K6" s="4" t="s">
        <v>42</v>
      </c>
      <c r="L6" s="4" t="s">
        <v>33</v>
      </c>
      <c r="M6" s="4" t="s">
        <v>34</v>
      </c>
    </row>
    <row r="7" spans="1:13" ht="310.5" x14ac:dyDescent="0.35">
      <c r="A7" s="4" t="s">
        <v>99</v>
      </c>
      <c r="B7" s="5" t="s">
        <v>22</v>
      </c>
      <c r="C7" s="5" t="s">
        <v>100</v>
      </c>
      <c r="D7" s="6" t="s">
        <v>16</v>
      </c>
      <c r="E7" s="6" t="s">
        <v>17</v>
      </c>
      <c r="F7" s="6" t="s">
        <v>16</v>
      </c>
      <c r="G7" s="6" t="s">
        <v>17</v>
      </c>
      <c r="H7" s="6" t="s">
        <v>17</v>
      </c>
      <c r="I7" s="4" t="s">
        <v>16</v>
      </c>
      <c r="J7" s="4" t="s">
        <v>126</v>
      </c>
      <c r="K7" s="4" t="s">
        <v>168</v>
      </c>
      <c r="L7" s="4" t="s">
        <v>174</v>
      </c>
      <c r="M7" s="4" t="s">
        <v>175</v>
      </c>
    </row>
    <row r="8" spans="1:13" x14ac:dyDescent="0.35">
      <c r="A8" s="4"/>
      <c r="B8" s="4"/>
      <c r="C8" s="4"/>
      <c r="D8" s="4"/>
      <c r="E8" s="4"/>
      <c r="F8" s="4"/>
      <c r="G8" s="4"/>
      <c r="H8" s="4"/>
      <c r="I8" s="4"/>
      <c r="J8" s="4"/>
      <c r="K8" s="4"/>
      <c r="L8" s="4"/>
      <c r="M8" s="4"/>
    </row>
    <row r="9" spans="1:13" x14ac:dyDescent="0.35">
      <c r="A9" s="4"/>
      <c r="B9" s="4"/>
      <c r="C9" s="4"/>
      <c r="D9" s="4"/>
      <c r="E9" s="4"/>
      <c r="F9" s="4"/>
      <c r="G9" s="4"/>
      <c r="H9" s="4"/>
      <c r="I9" s="4"/>
      <c r="J9" s="4"/>
      <c r="K9" s="4"/>
      <c r="L9" s="4"/>
      <c r="M9" s="4"/>
    </row>
    <row r="10" spans="1:13" x14ac:dyDescent="0.35">
      <c r="A10" s="4"/>
      <c r="B10" s="4"/>
      <c r="C10" s="4"/>
      <c r="D10" s="4"/>
      <c r="E10" s="4"/>
      <c r="F10" s="4"/>
      <c r="G10" s="4"/>
      <c r="H10" s="4"/>
      <c r="I10" s="4"/>
      <c r="J10" s="4"/>
      <c r="K10" s="4"/>
      <c r="L10" s="4"/>
      <c r="M10" s="4"/>
    </row>
    <row r="11" spans="1:13" x14ac:dyDescent="0.35">
      <c r="A11" s="4"/>
      <c r="B11" s="4"/>
      <c r="C11" s="4"/>
      <c r="D11" s="4"/>
      <c r="E11" s="4"/>
      <c r="F11" s="4"/>
      <c r="G11" s="4"/>
      <c r="H11" s="4"/>
      <c r="I11" s="4"/>
      <c r="J11" s="4"/>
      <c r="K11" s="4"/>
      <c r="L11" s="4"/>
      <c r="M11" s="4"/>
    </row>
    <row r="12" spans="1:13" x14ac:dyDescent="0.35">
      <c r="A12" s="4"/>
      <c r="B12" s="4"/>
      <c r="C12" s="4"/>
      <c r="D12" s="4"/>
      <c r="E12" s="4"/>
      <c r="F12" s="4"/>
      <c r="G12" s="4"/>
      <c r="H12" s="4"/>
      <c r="I12" s="4"/>
      <c r="J12" s="4"/>
      <c r="K12" s="4"/>
      <c r="L12" s="4"/>
      <c r="M12" s="4"/>
    </row>
    <row r="13" spans="1:13" x14ac:dyDescent="0.35">
      <c r="A13" s="4"/>
      <c r="B13" s="4"/>
      <c r="C13" s="4"/>
      <c r="D13" s="4"/>
      <c r="E13" s="4"/>
      <c r="F13" s="4"/>
      <c r="G13" s="4"/>
      <c r="H13" s="4"/>
      <c r="I13" s="4"/>
      <c r="J13" s="4"/>
      <c r="K13" s="4"/>
      <c r="L13" s="4"/>
      <c r="M13" s="4"/>
    </row>
    <row r="14" spans="1:13" x14ac:dyDescent="0.35">
      <c r="A14" s="4"/>
      <c r="B14" s="4"/>
      <c r="C14" s="4"/>
      <c r="D14" s="4"/>
      <c r="E14" s="4"/>
      <c r="F14" s="4"/>
      <c r="G14" s="4"/>
      <c r="H14" s="4"/>
      <c r="I14" s="4"/>
      <c r="J14" s="4"/>
      <c r="K14" s="4"/>
      <c r="L14" s="4"/>
      <c r="M14" s="4"/>
    </row>
    <row r="15" spans="1:13" x14ac:dyDescent="0.35">
      <c r="A15" s="4"/>
      <c r="B15" s="4"/>
      <c r="C15" s="4"/>
      <c r="D15" s="4"/>
      <c r="E15" s="4"/>
      <c r="F15" s="4"/>
      <c r="G15" s="4"/>
      <c r="H15" s="4"/>
      <c r="I15" s="4"/>
      <c r="J15" s="4"/>
      <c r="K15" s="4"/>
      <c r="L15" s="4"/>
      <c r="M15" s="4"/>
    </row>
    <row r="16" spans="1:13" x14ac:dyDescent="0.35">
      <c r="A16" s="4"/>
      <c r="B16" s="4"/>
      <c r="C16" s="4"/>
      <c r="D16" s="4"/>
      <c r="E16" s="4"/>
      <c r="F16" s="4"/>
      <c r="G16" s="4"/>
      <c r="H16" s="4"/>
      <c r="I16" s="4"/>
      <c r="J16" s="4"/>
      <c r="K16" s="4"/>
      <c r="L16" s="4"/>
      <c r="M16" s="4"/>
    </row>
    <row r="17" spans="1:13" x14ac:dyDescent="0.35">
      <c r="A17" s="4"/>
      <c r="B17" s="4"/>
      <c r="C17" s="4"/>
      <c r="D17" s="4"/>
      <c r="E17" s="4"/>
      <c r="F17" s="4"/>
      <c r="G17" s="4"/>
      <c r="H17" s="4"/>
      <c r="I17" s="4"/>
      <c r="J17" s="4"/>
      <c r="K17" s="4"/>
      <c r="L17" s="4"/>
      <c r="M17" s="4"/>
    </row>
    <row r="18" spans="1:13" x14ac:dyDescent="0.35">
      <c r="A18" s="4"/>
      <c r="B18" s="4"/>
      <c r="C18" s="4"/>
      <c r="D18" s="4"/>
      <c r="E18" s="4"/>
      <c r="F18" s="4"/>
      <c r="G18" s="4"/>
      <c r="H18" s="4"/>
      <c r="I18" s="4"/>
      <c r="J18" s="4"/>
      <c r="K18" s="4"/>
      <c r="L18" s="4"/>
      <c r="M18" s="4"/>
    </row>
    <row r="19" spans="1:13" x14ac:dyDescent="0.35">
      <c r="A19" s="4"/>
      <c r="B19" s="4"/>
      <c r="C19" s="4"/>
      <c r="D19" s="4"/>
      <c r="E19" s="4"/>
      <c r="F19" s="4"/>
      <c r="G19" s="4"/>
      <c r="H19" s="4"/>
      <c r="I19" s="4"/>
      <c r="J19" s="4"/>
      <c r="K19" s="4"/>
      <c r="L19" s="4"/>
      <c r="M19" s="4"/>
    </row>
    <row r="20" spans="1:13" x14ac:dyDescent="0.35">
      <c r="A20" s="4"/>
      <c r="B20" s="4"/>
      <c r="C20" s="4"/>
      <c r="D20" s="4"/>
      <c r="E20" s="4"/>
      <c r="F20" s="4"/>
      <c r="G20" s="4"/>
      <c r="H20" s="4"/>
      <c r="I20" s="4"/>
      <c r="J20" s="4"/>
      <c r="K20" s="4"/>
      <c r="L20" s="4"/>
      <c r="M20" s="4"/>
    </row>
    <row r="21" spans="1:13" x14ac:dyDescent="0.35">
      <c r="A21" s="4"/>
      <c r="B21" s="4"/>
      <c r="C21" s="4"/>
      <c r="D21" s="4"/>
      <c r="E21" s="4"/>
      <c r="F21" s="4"/>
      <c r="G21" s="4"/>
      <c r="H21" s="4"/>
      <c r="I21" s="4"/>
      <c r="J21" s="4"/>
      <c r="K21" s="4"/>
      <c r="L21" s="4"/>
      <c r="M21" s="4"/>
    </row>
    <row r="22" spans="1:13" x14ac:dyDescent="0.35">
      <c r="A22" s="4"/>
      <c r="B22" s="4"/>
      <c r="C22" s="4"/>
      <c r="D22" s="4"/>
      <c r="E22" s="4"/>
      <c r="F22" s="4"/>
      <c r="G22" s="4"/>
      <c r="H22" s="4"/>
      <c r="I22" s="4"/>
      <c r="J22" s="4"/>
      <c r="K22" s="4"/>
      <c r="L22" s="4"/>
      <c r="M22" s="4"/>
    </row>
    <row r="24" spans="1:13" x14ac:dyDescent="0.35">
      <c r="A24" s="12" t="s">
        <v>43</v>
      </c>
    </row>
  </sheetData>
  <dataValidations count="1">
    <dataValidation type="list" allowBlank="1" sqref="D3:I22" xr:uid="{00000000-0002-0000-0200-000000000000}">
      <formula1>"PASS,FAIL"</formula1>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1000000}">
          <x14:formula1>
            <xm:f>'Failure Analysis'!$A$2:$A$9</xm:f>
          </x14:formula1>
          <xm:sqref>J3:J22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zoomScaleNormal="100" workbookViewId="0"/>
  </sheetViews>
  <sheetFormatPr defaultColWidth="8.6328125" defaultRowHeight="14.5" x14ac:dyDescent="0.35"/>
  <cols>
    <col min="1" max="1" width="26" customWidth="1"/>
    <col min="2" max="3" width="70" customWidth="1"/>
  </cols>
  <sheetData>
    <row r="1" spans="1:3" ht="18" customHeight="1" x14ac:dyDescent="0.4">
      <c r="A1" s="13" t="s">
        <v>143</v>
      </c>
    </row>
    <row r="2" spans="1:3" x14ac:dyDescent="0.35">
      <c r="A2" s="14" t="s">
        <v>144</v>
      </c>
    </row>
    <row r="4" spans="1:3" x14ac:dyDescent="0.35">
      <c r="A4" s="1" t="s">
        <v>145</v>
      </c>
      <c r="B4" s="1" t="s">
        <v>146</v>
      </c>
      <c r="C4" s="1" t="s">
        <v>147</v>
      </c>
    </row>
    <row r="5" spans="1:3" ht="28" customHeight="1" x14ac:dyDescent="0.35">
      <c r="A5" s="15" t="s">
        <v>3</v>
      </c>
      <c r="B5" s="15" t="s">
        <v>148</v>
      </c>
      <c r="C5" s="15" t="s">
        <v>149</v>
      </c>
    </row>
    <row r="6" spans="1:3" ht="28" customHeight="1" x14ac:dyDescent="0.35">
      <c r="A6" s="15" t="s">
        <v>4</v>
      </c>
      <c r="B6" s="15" t="s">
        <v>150</v>
      </c>
      <c r="C6" s="15" t="s">
        <v>151</v>
      </c>
    </row>
    <row r="7" spans="1:3" ht="28" customHeight="1" x14ac:dyDescent="0.35">
      <c r="A7" s="15" t="s">
        <v>5</v>
      </c>
      <c r="B7" s="15" t="s">
        <v>152</v>
      </c>
      <c r="C7" s="15" t="s">
        <v>153</v>
      </c>
    </row>
    <row r="8" spans="1:3" ht="42" customHeight="1" x14ac:dyDescent="0.35">
      <c r="A8" s="15" t="s">
        <v>6</v>
      </c>
      <c r="B8" s="15" t="s">
        <v>154</v>
      </c>
      <c r="C8" s="15" t="s">
        <v>155</v>
      </c>
    </row>
    <row r="9" spans="1:3" ht="28" customHeight="1" x14ac:dyDescent="0.35">
      <c r="A9" s="15" t="s">
        <v>7</v>
      </c>
      <c r="B9" s="15" t="s">
        <v>156</v>
      </c>
      <c r="C9" s="15" t="s">
        <v>157</v>
      </c>
    </row>
    <row r="11" spans="1:3" x14ac:dyDescent="0.35">
      <c r="A11" s="16" t="s">
        <v>158</v>
      </c>
    </row>
    <row r="12" spans="1:3" x14ac:dyDescent="0.35">
      <c r="A12" s="17" t="s">
        <v>159</v>
      </c>
    </row>
    <row r="13" spans="1:3" x14ac:dyDescent="0.35">
      <c r="A13" s="17" t="s">
        <v>160</v>
      </c>
    </row>
    <row r="14" spans="1:3" x14ac:dyDescent="0.35">
      <c r="A14" s="17" t="s">
        <v>161</v>
      </c>
    </row>
    <row r="15" spans="1:3" x14ac:dyDescent="0.35">
      <c r="A15" s="17" t="s">
        <v>162</v>
      </c>
    </row>
    <row r="16" spans="1:3" x14ac:dyDescent="0.35">
      <c r="A16" s="17" t="s">
        <v>163</v>
      </c>
    </row>
    <row r="17" spans="1:1" x14ac:dyDescent="0.35">
      <c r="A17" s="17" t="s">
        <v>164</v>
      </c>
    </row>
    <row r="18" spans="1:1" x14ac:dyDescent="0.35">
      <c r="A18" s="17" t="s">
        <v>165</v>
      </c>
    </row>
    <row r="19" spans="1:1" x14ac:dyDescent="0.35">
      <c r="A19" s="17" t="s">
        <v>166</v>
      </c>
    </row>
    <row r="20" spans="1:1" x14ac:dyDescent="0.35">
      <c r="A20" s="17" t="s">
        <v>167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Evaluation Log</vt:lpstr>
      <vt:lpstr>Failure Analysis</vt:lpstr>
      <vt:lpstr>Failure Traces</vt:lpstr>
      <vt:lpstr>Rubric &amp; How 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 John</cp:lastModifiedBy>
  <cp:revision>0</cp:revision>
  <dcterms:created xsi:type="dcterms:W3CDTF">2026-10-29T14:23:57Z</dcterms:created>
  <dcterms:modified xsi:type="dcterms:W3CDTF">2026-10-31T08:21:14Z</dcterms:modified>
  <dc:language>en-US</dc:language>
</cp:coreProperties>
</file>